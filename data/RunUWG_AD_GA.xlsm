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oj\Dropbox\UWG_Matlab-master\data\"/>
    </mc:Choice>
  </mc:AlternateContent>
  <workbookProtection lockStructure="1"/>
  <bookViews>
    <workbookView xWindow="490860" yWindow="0" windowWidth="20490" windowHeight="9045"/>
  </bookViews>
  <sheets>
    <sheet name="Summary" sheetId="3" r:id="rId1"/>
    <sheet name="DOE_Reference" sheetId="6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4" i="3" l="1"/>
  <c r="D20" i="3"/>
  <c r="R21" i="3"/>
  <c r="AC20" i="3"/>
  <c r="AE20" i="3"/>
  <c r="AD20" i="3"/>
  <c r="T18" i="3"/>
  <c r="AA3" i="3"/>
  <c r="O20" i="3"/>
  <c r="T8" i="3"/>
  <c r="T16" i="3"/>
  <c r="T13" i="3"/>
  <c r="T4" i="3"/>
  <c r="U17" i="3"/>
  <c r="T10" i="3"/>
  <c r="T5" i="3"/>
  <c r="U16" i="3"/>
  <c r="U8" i="3"/>
  <c r="S19" i="3"/>
  <c r="T11" i="3"/>
  <c r="T19" i="3"/>
  <c r="U13" i="3"/>
  <c r="S15" i="3"/>
  <c r="U15" i="3"/>
  <c r="U5" i="3"/>
  <c r="S11" i="3"/>
  <c r="T17" i="3"/>
  <c r="T15" i="3"/>
  <c r="T12" i="3"/>
  <c r="T9" i="3"/>
  <c r="T7" i="3"/>
  <c r="U9" i="3"/>
  <c r="U12" i="3"/>
  <c r="U7" i="3"/>
  <c r="S8" i="3"/>
  <c r="U19" i="3"/>
  <c r="T14" i="3"/>
  <c r="U11" i="3"/>
  <c r="T6" i="3"/>
  <c r="U18" i="3"/>
  <c r="U14" i="3"/>
  <c r="U10" i="3"/>
  <c r="S9" i="3"/>
  <c r="R20" i="3"/>
  <c r="S7" i="3"/>
  <c r="S18" i="3"/>
  <c r="S14" i="3"/>
  <c r="S10" i="3"/>
  <c r="U6" i="3"/>
  <c r="U4" i="3"/>
  <c r="S6" i="3"/>
  <c r="S17" i="3"/>
  <c r="S13" i="3"/>
  <c r="S4" i="3"/>
  <c r="S5" i="3"/>
  <c r="S16" i="3"/>
  <c r="S12" i="3"/>
  <c r="T20" i="3"/>
  <c r="S20" i="3"/>
  <c r="U20" i="3"/>
  <c r="AA2" i="3"/>
</calcChain>
</file>

<file path=xl/comments1.xml><?xml version="1.0" encoding="utf-8"?>
<comments xmlns="http://schemas.openxmlformats.org/spreadsheetml/2006/main">
  <authors>
    <author>Joseph Yang</author>
  </authors>
  <commentList>
    <comment ref="C21" authorId="0" shapeId="0">
      <text>
        <r>
          <rPr>
            <b/>
            <sz val="9"/>
            <color indexed="81"/>
            <rFont val="Tahoma"/>
            <family val="2"/>
          </rPr>
          <t>Joseph Yang:</t>
        </r>
        <r>
          <rPr>
            <sz val="9"/>
            <color indexed="81"/>
            <rFont val="Tahoma"/>
            <family val="2"/>
          </rPr>
          <t xml:space="preserve">
Use average road albedo, including sidewalk pavement (concrete).</t>
        </r>
      </text>
    </comment>
    <comment ref="Q27" authorId="0" shapeId="0">
      <text>
        <r>
          <rPr>
            <b/>
            <sz val="9"/>
            <color indexed="81"/>
            <rFont val="Tahoma"/>
            <family val="2"/>
          </rPr>
          <t>Joseph Yang:</t>
        </r>
        <r>
          <rPr>
            <sz val="9"/>
            <color indexed="81"/>
            <rFont val="Tahoma"/>
            <family val="2"/>
          </rPr>
          <t xml:space="preserve">
When .m or .xml file is chosen, parameters defined here are not used.</t>
        </r>
      </text>
    </comment>
    <comment ref="P34" authorId="0" shapeId="0">
      <text>
        <r>
          <rPr>
            <b/>
            <sz val="9"/>
            <color indexed="81"/>
            <rFont val="Tahoma"/>
            <family val="2"/>
          </rPr>
          <t>Joseph Yang:</t>
        </r>
        <r>
          <rPr>
            <sz val="9"/>
            <color indexed="81"/>
            <rFont val="Tahoma"/>
            <family val="2"/>
          </rPr>
          <t xml:space="preserve">
Not recommended if running simulation for 1 year. Writing Excel file will take a very long time!</t>
        </r>
      </text>
    </comment>
  </commentList>
</comments>
</file>

<file path=xl/sharedStrings.xml><?xml version="1.0" encoding="utf-8"?>
<sst xmlns="http://schemas.openxmlformats.org/spreadsheetml/2006/main" count="366" uniqueCount="285">
  <si>
    <t>1A</t>
  </si>
  <si>
    <t>2A</t>
  </si>
  <si>
    <t>2B</t>
  </si>
  <si>
    <t>3A</t>
  </si>
  <si>
    <t>3B-CA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</si>
  <si>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</si>
  <si>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</si>
  <si>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</si>
  <si>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</si>
  <si>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</si>
  <si>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</si>
  <si>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</si>
  <si>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</si>
  <si>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</si>
  <si>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Location</t>
  </si>
  <si>
    <t>Vertical to Horizontal Ratio</t>
  </si>
  <si>
    <t>Building</t>
  </si>
  <si>
    <t>Pre-80</t>
  </si>
  <si>
    <t>Miami</t>
  </si>
  <si>
    <t>Houston</t>
  </si>
  <si>
    <t>Phoenix</t>
  </si>
  <si>
    <t>Atlanta</t>
  </si>
  <si>
    <t>Los Angeles</t>
  </si>
  <si>
    <t>Las Vegas</t>
  </si>
  <si>
    <t>San Francisco</t>
  </si>
  <si>
    <t>Baltimore</t>
  </si>
  <si>
    <t>Albuquerque</t>
  </si>
  <si>
    <t>Seattle</t>
  </si>
  <si>
    <t>Chicago</t>
  </si>
  <si>
    <t>Boulder</t>
  </si>
  <si>
    <t>Minneapolis</t>
  </si>
  <si>
    <t>Helena</t>
  </si>
  <si>
    <t>Duluth</t>
  </si>
  <si>
    <t>Fairbanks</t>
  </si>
  <si>
    <t>Post-80</t>
  </si>
  <si>
    <t>New</t>
  </si>
  <si>
    <t>RefBldgFullServiceRestaurantNew2004_v1.3_5.0_SI.xlsx</t>
  </si>
  <si>
    <t>RefBldgHospitalNew2004_v1.3_5.0_SI.xlsx</t>
  </si>
  <si>
    <t>RefBldgLargeHotelNew2004_v1.3_5.0_SI.xlsx</t>
  </si>
  <si>
    <t>RefBldgLargeOfficeNew2004_v1.3_5.0_SI.xlsx</t>
  </si>
  <si>
    <t>RefBldgMediumOfficeNew2004_v1.3_5.0_SI.xlsx</t>
  </si>
  <si>
    <t>RefBldgMidriseApartmentNew2004_v1.3_5.0_SI.xlsx</t>
  </si>
  <si>
    <t>RefBldgOutPatientNew2004_v1.3_5.0_SI.xlsx</t>
  </si>
  <si>
    <t>RefBldgPrimarySchoolNew2004_v1.3_5.0_SI.xlsx</t>
  </si>
  <si>
    <t>RefBldgQuickServiceRestaurantNew2004_v1.3_5.0_SI.xlsx</t>
  </si>
  <si>
    <t>RefBldgSecondarySchoolNew2004_v1.3_5.0_SI.xlsx</t>
  </si>
  <si>
    <t>RefBldgSmallHotelNew2004_v1.3_5.0_SI.xlsx</t>
  </si>
  <si>
    <t>RefBldgSmallOfficeNew2004_v1.3_5.0_SI.xlsx</t>
  </si>
  <si>
    <t>RefBldgStand-aloneRetailNew2004_v1.3_5.0_SI.xlsx</t>
  </si>
  <si>
    <t>RefBldgStripMallNew2004_v1.3_5.0_SI.xlsx</t>
  </si>
  <si>
    <t>RefBldgSuperMarketNew2004_v1.3_5.0_SI.xlsx</t>
  </si>
  <si>
    <t>RefBldgWarehouseNew2004_v1.3_5.0_SI.xlsx</t>
  </si>
  <si>
    <t>BLD1PRE</t>
  </si>
  <si>
    <t>BLD1NEW</t>
  </si>
  <si>
    <t>BLD2NEW</t>
  </si>
  <si>
    <t>BLD3NEW</t>
  </si>
  <si>
    <t>BLD4NEW</t>
  </si>
  <si>
    <t>BLD5NEW</t>
  </si>
  <si>
    <t>BLD6NEW</t>
  </si>
  <si>
    <t>RefBldgFullServiceRestaurantPost1980_v1.3_5.0_SI.xlsx</t>
  </si>
  <si>
    <t>RefBldgHospitalPost1980_v1.3_5.0_SI.xlsx</t>
  </si>
  <si>
    <t>RefBldgLargeHotelPost1980_v1.3_5.0_SI.xlsx</t>
  </si>
  <si>
    <t>RefBldgLargeOfficePost1980_v1.3_5.0_SI.xlsx</t>
  </si>
  <si>
    <t>RefBldgMediumOfficePost1980_v1.3_5.0_SI.xlsx</t>
  </si>
  <si>
    <t>RefBldgMidriseApartmentPost1980_v1.3_5.0_SI.xlsx</t>
  </si>
  <si>
    <t>RefBldgOutPatientPost1980_v1.3_5.0_SI.xlsx</t>
  </si>
  <si>
    <t>RefBldgPrimarySchoolPost1980_v1.3_5.0_SI.xlsx</t>
  </si>
  <si>
    <t>RefBldgQuickServiceRestaurantPost1980_v1.3_5.0_SI.xlsx</t>
  </si>
  <si>
    <t>RefBldgSecondarySchoolPost1980_v1.3_5.0_SI.xlsx</t>
  </si>
  <si>
    <t>RefBldgSmallHotelPost1980_v1.3_5.0_SI.xlsx</t>
  </si>
  <si>
    <t>RefBldgSmallOfficePost1980_v1.3_5.0_SI.xlsx</t>
  </si>
  <si>
    <t>RefBldgStand-aloneRetailPost1980_v1.3_5.0_SI.xlsx</t>
  </si>
  <si>
    <t>RefBldgStripMallPost1980_v1.3_5.0_SI.xlsx</t>
  </si>
  <si>
    <t>RefBldgSuperMarketPost1980_v1.3_5.0_SI.xlsx</t>
  </si>
  <si>
    <t>RefBldgWarehousePost1980_v1.3_5.0_SI.xlsx</t>
  </si>
  <si>
    <t>RefBldgFullServiceRestaurantPre1980_v1.3_5.0_SI.xlsx</t>
  </si>
  <si>
    <t>RefBldgHospitalPre1980_v1.3_5.0_SI.xlsx</t>
  </si>
  <si>
    <t>RefBldgLargeHotelPre1980_v1.3_5.0_SI.xlsx</t>
  </si>
  <si>
    <t>RefBldgLargeOfficePre1980_v1.3_5.0_SI.xlsx</t>
  </si>
  <si>
    <t>RefBldgMediumOfficePre1980_v1.3_5.0_SI.xlsx</t>
  </si>
  <si>
    <t>RefBldgMidriseApartmentPre1980_v1.3_5.0_SI.xlsx</t>
  </si>
  <si>
    <t>RefBldgOutPatientPre1980_v1.3_5.0_SI.xlsx</t>
  </si>
  <si>
    <t>RefBldgPrimarySchoolPre1980_v1.3_5.0_SI.xlsx</t>
  </si>
  <si>
    <t>RefBldgQuickServiceRestaurantPre1980_v1.3_5.0_SI.xlsx</t>
  </si>
  <si>
    <t>RefBldgSecondarySchoolPre1980_v1.3_5.0_SI.xlsx</t>
  </si>
  <si>
    <t>RefBldgSmallHotelPre1980_v1.3_5.0_SI.xlsx</t>
  </si>
  <si>
    <t>RefBldgSmallOfficePre1980_v1.3_5.0_SI.xlsx</t>
  </si>
  <si>
    <t>RefBldgStand-aloneRetailPre1980_v1.3_5.0_SI.xlsx</t>
  </si>
  <si>
    <t>RefBldgStripMallPre1980_v1.3_5.0_SI.xlsx</t>
  </si>
  <si>
    <t>RefBldgSuperMarketPre1980_v1.3_5.0_SI.xlsx</t>
  </si>
  <si>
    <t>RefBldgWarehousePre1980_v1.3_5.0_SI.xlsx</t>
  </si>
  <si>
    <t>BLD7NEW</t>
  </si>
  <si>
    <t>BLD8NEW</t>
  </si>
  <si>
    <t>BLD9NEW</t>
  </si>
  <si>
    <t>BLD10NEW</t>
  </si>
  <si>
    <t>BLD11NEW</t>
  </si>
  <si>
    <t>BLD12NEW</t>
  </si>
  <si>
    <t>BLD13NEW</t>
  </si>
  <si>
    <t>BLD14NEW</t>
  </si>
  <si>
    <t>BLD15NEW</t>
  </si>
  <si>
    <t>BLD16NEW</t>
  </si>
  <si>
    <t>BLD1PST</t>
  </si>
  <si>
    <t>BLD2PST</t>
  </si>
  <si>
    <t>BLD3PST</t>
  </si>
  <si>
    <t>BLD4PST</t>
  </si>
  <si>
    <t>BLD5PST</t>
  </si>
  <si>
    <t>BLD6PST</t>
  </si>
  <si>
    <t>BLD7PST</t>
  </si>
  <si>
    <t>BLD8PST</t>
  </si>
  <si>
    <t>BLD9PST</t>
  </si>
  <si>
    <t>BLD10PST</t>
  </si>
  <si>
    <t>BLD11PST</t>
  </si>
  <si>
    <t>BLD12PST</t>
  </si>
  <si>
    <t>BLD13PST</t>
  </si>
  <si>
    <t>BLD14PST</t>
  </si>
  <si>
    <t>BLD15PST</t>
  </si>
  <si>
    <t>BLD16PST</t>
  </si>
  <si>
    <t>BLD2PRE</t>
  </si>
  <si>
    <t>BLD3PRE</t>
  </si>
  <si>
    <t>BLD4PRE</t>
  </si>
  <si>
    <t>BLD5PRE</t>
  </si>
  <si>
    <t>BLD6PRE</t>
  </si>
  <si>
    <t>BLD7PRE</t>
  </si>
  <si>
    <t>BLD8PRE</t>
  </si>
  <si>
    <t>BLD9PRE</t>
  </si>
  <si>
    <t>BLD10PRE</t>
  </si>
  <si>
    <t>BLD11PRE</t>
  </si>
  <si>
    <t>BLD12PRE</t>
  </si>
  <si>
    <t>BLD13PRE</t>
  </si>
  <si>
    <t>BLD14PRE</t>
  </si>
  <si>
    <t>BLD15PRE</t>
  </si>
  <si>
    <t>BLD16PRE</t>
  </si>
  <si>
    <t>File Reference (All are v1.3.5)</t>
  </si>
  <si>
    <t>Road Albedo</t>
  </si>
  <si>
    <t>No.</t>
  </si>
  <si>
    <t>BLD1</t>
  </si>
  <si>
    <t>BLD2</t>
  </si>
  <si>
    <t>BLD3</t>
  </si>
  <si>
    <t>BLD4</t>
  </si>
  <si>
    <t>BLD5</t>
  </si>
  <si>
    <t>BLD6</t>
  </si>
  <si>
    <t>BLD7</t>
  </si>
  <si>
    <t>BLD8</t>
  </si>
  <si>
    <t>BLD9</t>
  </si>
  <si>
    <t>BLD10</t>
  </si>
  <si>
    <t>BLD11</t>
  </si>
  <si>
    <t>BLD12</t>
  </si>
  <si>
    <t>BLD13</t>
  </si>
  <si>
    <t>BLD14</t>
  </si>
  <si>
    <t>BLD15</t>
  </si>
  <si>
    <t>BLD16</t>
  </si>
  <si>
    <t>FullServiceRestaurant</t>
  </si>
  <si>
    <t>Hospital</t>
  </si>
  <si>
    <t>LargeHotel</t>
  </si>
  <si>
    <t>LargeOffice</t>
  </si>
  <si>
    <t>MediumOffice</t>
  </si>
  <si>
    <t>MidriseApartment</t>
  </si>
  <si>
    <t>OutPatient</t>
  </si>
  <si>
    <t>PrimarySchool</t>
  </si>
  <si>
    <t>QuickServiceRestaurant</t>
  </si>
  <si>
    <t>SecondarySchool</t>
  </si>
  <si>
    <t>SmallHotel</t>
  </si>
  <si>
    <t>SmallOffice</t>
  </si>
  <si>
    <t>Stand-aloneRetail</t>
  </si>
  <si>
    <t>StripMall</t>
  </si>
  <si>
    <t>SuperMarket</t>
  </si>
  <si>
    <t>Warehouse</t>
  </si>
  <si>
    <t>Unit</t>
  </si>
  <si>
    <t>m</t>
  </si>
  <si>
    <t>Urban Boundary Layer Height - Day</t>
  </si>
  <si>
    <t>Urban Boundary Layer Height - Night</t>
  </si>
  <si>
    <t>Average Building Height</t>
  </si>
  <si>
    <t>-</t>
  </si>
  <si>
    <t>Value</t>
  </si>
  <si>
    <t>s</t>
  </si>
  <si>
    <t>Building Density</t>
  </si>
  <si>
    <t>Max Dx</t>
  </si>
  <si>
    <t>Simulation Start Month</t>
  </si>
  <si>
    <t>Simulation Start Day</t>
  </si>
  <si>
    <t>Simulation Duration</t>
  </si>
  <si>
    <t>Days</t>
  </si>
  <si>
    <t>Urban Characteristics</t>
  </si>
  <si>
    <t>Veg Start Month</t>
  </si>
  <si>
    <t>Veg End Month</t>
  </si>
  <si>
    <t>Path</t>
  </si>
  <si>
    <t>1 or 0</t>
  </si>
  <si>
    <t>File</t>
  </si>
  <si>
    <t>File Locations</t>
  </si>
  <si>
    <t>Simulation Parameters</t>
  </si>
  <si>
    <t>Hr</t>
  </si>
  <si>
    <t>Sensible Anthropogenic Heat (Peak)</t>
  </si>
  <si>
    <t>Latent Anthropogenic Heat (Peak)</t>
  </si>
  <si>
    <t>Pavement Thickness</t>
  </si>
  <si>
    <t>Floors</t>
  </si>
  <si>
    <t>DOE Building Type</t>
  </si>
  <si>
    <t>WD</t>
  </si>
  <si>
    <t>Sat</t>
  </si>
  <si>
    <t>Urban Weather Generator Parameters</t>
  </si>
  <si>
    <t>Traffic Schedule</t>
  </si>
  <si>
    <t>Building Types</t>
  </si>
  <si>
    <t>Circulation Coefficient</t>
  </si>
  <si>
    <t>Total Floor Area:</t>
  </si>
  <si>
    <t>Vegetation Albedo</t>
  </si>
  <si>
    <t>Latent Fraction of Tree</t>
  </si>
  <si>
    <t>Latent Fraction of Grass</t>
  </si>
  <si>
    <t>Vegetation Parameters</t>
  </si>
  <si>
    <t>Climate Zone Selected:</t>
  </si>
  <si>
    <t>Wall Type</t>
  </si>
  <si>
    <t>Steel frame wall</t>
  </si>
  <si>
    <t>IEAD</t>
  </si>
  <si>
    <t>Roof Type</t>
  </si>
  <si>
    <t>Attic</t>
  </si>
  <si>
    <t>Mass wall</t>
  </si>
  <si>
    <t>Wood-Framed</t>
  </si>
  <si>
    <t>Metal building wall</t>
  </si>
  <si>
    <t>Metal building roof</t>
  </si>
  <si>
    <t>Material</t>
  </si>
  <si>
    <t>Number of Buildings</t>
  </si>
  <si>
    <t>Rural Road Vegetation Coverage</t>
  </si>
  <si>
    <t>Occupant Sensible Heat Rate</t>
  </si>
  <si>
    <t>W/person</t>
  </si>
  <si>
    <t>Simulation Time Step</t>
  </si>
  <si>
    <t>Weather Time Step</t>
  </si>
  <si>
    <t>BostonUWG.epw</t>
  </si>
  <si>
    <t>Building Climate Zone Reference</t>
  </si>
  <si>
    <t>Day Threshhold (for UBL night/day)</t>
  </si>
  <si>
    <t>Night Threshhold (for UBL night/day)</t>
  </si>
  <si>
    <t>Inversion Height</t>
  </si>
  <si>
    <t>RSM Temperature Reference Height</t>
  </si>
  <si>
    <t>RSM Wind Reference Height</t>
  </si>
  <si>
    <t>UCM-UBL Exchange Coefficient</t>
  </si>
  <si>
    <t>Urban Area Veg Coverage</t>
  </si>
  <si>
    <t>Urban Area Tree Coverage</t>
  </si>
  <si>
    <t>Estimated Floor Area</t>
  </si>
  <si>
    <t>Urban Area Characteristic Length</t>
  </si>
  <si>
    <t>Generate .mat file</t>
  </si>
  <si>
    <t>Generate EPW file</t>
  </si>
  <si>
    <t>Generate .xlsx file</t>
  </si>
  <si>
    <t>No</t>
  </si>
  <si>
    <t>Yes</t>
  </si>
  <si>
    <t>Yes/No</t>
  </si>
  <si>
    <t>Urban EPW 
Output</t>
  </si>
  <si>
    <t>High-Dense</t>
  </si>
  <si>
    <t>Mid-Dense</t>
  </si>
  <si>
    <t>Low-Dens</t>
  </si>
  <si>
    <t>Dens</t>
  </si>
  <si>
    <t>Height</t>
  </si>
  <si>
    <t>V2H</t>
  </si>
  <si>
    <t>% of waste into canyon</t>
  </si>
  <si>
    <t>Sensible Antrho</t>
  </si>
  <si>
    <t>Total Floor Area (%)</t>
  </si>
  <si>
    <t>Radiant Fraction of Equip</t>
  </si>
  <si>
    <t>Radiant Fraction of Light</t>
  </si>
  <si>
    <t>Latent Fraction of Occupant</t>
  </si>
  <si>
    <t>Radiant Fraction of Occupant</t>
  </si>
  <si>
    <t>Mininum wind velocity</t>
  </si>
  <si>
    <t>m/s</t>
  </si>
  <si>
    <t>Rural Average Ostacle Height</t>
  </si>
  <si>
    <t>Microclimate Parameters</t>
  </si>
  <si>
    <t>DISCLAIMER OF WARRANTIES: The tool is provided 'as is' without warranty of any kind, either expressed or implied.</t>
  </si>
  <si>
    <t>Rural Weather 
File (EPW)</t>
  </si>
  <si>
    <t>Input Definition
File</t>
  </si>
  <si>
    <t>Fraction of waste heat into canyon</t>
  </si>
  <si>
    <t>Wish list</t>
  </si>
  <si>
    <t>Use ActivXServer to write to Excel to speed up the process!</t>
  </si>
  <si>
    <t>Building energy multiplier (to turn off all building energy)</t>
  </si>
  <si>
    <t>Water heating energy type (gas vs. elec)</t>
  </si>
  <si>
    <t>Space heating energy type (gas vs. elec)</t>
  </si>
  <si>
    <t>Roof albedo</t>
  </si>
  <si>
    <t>Wall abedo</t>
  </si>
  <si>
    <t>Change ventilation/infiltration rate</t>
  </si>
  <si>
    <t>HVAC autosize (1 = unconstrained)</t>
  </si>
  <si>
    <t>Turn off cooling</t>
  </si>
  <si>
    <t>C:\Sim\UWG4.1\data\</t>
  </si>
  <si>
    <t>c:\Sim\UWG4.1\data\</t>
  </si>
  <si>
    <t>c:\Sim\UWG4.1\output</t>
  </si>
  <si>
    <t>Urban Weather Generator v4.1</t>
  </si>
  <si>
    <t>UWG Program</t>
  </si>
  <si>
    <t>RunUWG.xslm</t>
  </si>
  <si>
    <t>USA_MA_Boston-Logan.725090_TMY2.epw</t>
  </si>
  <si>
    <t>C:\Program Files\UWGv4.1\application\UWGv4.exe</t>
  </si>
  <si>
    <t>Fri</t>
  </si>
  <si>
    <r>
      <t>Total Floor Area (m</t>
    </r>
    <r>
      <rPr>
        <b/>
        <vertAlign val="superscript"/>
        <sz val="11"/>
        <color theme="1"/>
        <rFont val="Arial"/>
        <family val="2"/>
      </rPr>
      <t>2</t>
    </r>
    <r>
      <rPr>
        <b/>
        <sz val="11"/>
        <color theme="1"/>
        <rFont val="Arial"/>
        <family val="2"/>
      </rPr>
      <t>)</t>
    </r>
  </si>
  <si>
    <r>
      <t>Area (m</t>
    </r>
    <r>
      <rPr>
        <b/>
        <vertAlign val="superscript"/>
        <sz val="11"/>
        <color theme="1"/>
        <rFont val="Arial"/>
        <family val="2"/>
      </rPr>
      <t>2</t>
    </r>
    <r>
      <rPr>
        <b/>
        <sz val="11"/>
        <color theme="1"/>
        <rFont val="Arial"/>
        <family val="2"/>
      </rPr>
      <t>)</t>
    </r>
  </si>
  <si>
    <r>
      <t>W/m</t>
    </r>
    <r>
      <rPr>
        <vertAlign val="superscript"/>
        <sz val="11"/>
        <color theme="1"/>
        <rFont val="Arial"/>
        <family val="2"/>
      </rPr>
      <t>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</si>
</sst>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,##0.0"/>
    <numFmt numFmtId="165" formatCode="0.0"/>
    <numFmt numFmtId="166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Arial"/>
      <family val="2"/>
    </font>
    <font>
      <b/>
      <i/>
      <sz val="11"/>
      <color theme="1"/>
      <name val="Arial"/>
      <family val="2"/>
    </font>
    <font>
      <b/>
      <sz val="11"/>
      <color theme="1"/>
      <name val="Arial"/>
      <family val="2"/>
    </font>
    <font>
      <b/>
      <vertAlign val="superscript"/>
      <sz val="11"/>
      <color theme="1"/>
      <name val="Arial"/>
      <family val="2"/>
    </font>
    <font>
      <i/>
      <sz val="11"/>
      <color theme="1"/>
      <name val="Arial"/>
      <family val="2"/>
    </font>
    <font>
      <sz val="11"/>
      <color indexed="8"/>
      <name val="Arial"/>
      <family val="2"/>
    </font>
    <font>
      <vertAlign val="superscript"/>
      <sz val="11"/>
      <color theme="1"/>
      <name val="Arial"/>
      <family val="2"/>
    </font>
    <font>
      <b/>
      <sz val="11"/>
      <name val="Arial"/>
      <family val="2"/>
    </font>
    <font>
      <b/>
      <u/>
      <sz val="11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139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" vertical="top" wrapText="1"/>
    </xf>
    <xf numFmtId="0" fontId="6" fillId="0" borderId="0" xfId="0" applyFont="1"/>
    <xf numFmtId="0" fontId="8" fillId="0" borderId="0" xfId="0" applyFont="1"/>
    <xf numFmtId="0" fontId="8" fillId="0" borderId="14" xfId="0" applyFont="1" applyFill="1" applyBorder="1" applyAlignment="1">
      <alignment horizontal="center"/>
    </xf>
    <xf numFmtId="0" fontId="8" fillId="0" borderId="11" xfId="0" applyFont="1" applyFill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8" fillId="0" borderId="3" xfId="0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4" borderId="0" xfId="0" applyFont="1" applyFill="1"/>
    <xf numFmtId="0" fontId="6" fillId="2" borderId="14" xfId="0" applyFont="1" applyFill="1" applyBorder="1"/>
    <xf numFmtId="0" fontId="6" fillId="0" borderId="11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4" xfId="0" applyFont="1" applyBorder="1" applyAlignment="1">
      <alignment horizontal="center"/>
    </xf>
    <xf numFmtId="2" fontId="6" fillId="2" borderId="14" xfId="0" applyNumberFormat="1" applyFont="1" applyFill="1" applyBorder="1" applyAlignment="1">
      <alignment horizontal="center"/>
    </xf>
    <xf numFmtId="2" fontId="6" fillId="2" borderId="5" xfId="0" applyNumberFormat="1" applyFont="1" applyFill="1" applyBorder="1" applyAlignment="1">
      <alignment horizontal="center"/>
    </xf>
    <xf numFmtId="0" fontId="6" fillId="0" borderId="0" xfId="0" applyFont="1" applyBorder="1"/>
    <xf numFmtId="0" fontId="6" fillId="0" borderId="0" xfId="0" applyFont="1" applyBorder="1" applyAlignment="1">
      <alignment horizontal="center"/>
    </xf>
    <xf numFmtId="3" fontId="10" fillId="0" borderId="0" xfId="0" applyNumberFormat="1" applyFont="1" applyBorder="1" applyAlignment="1">
      <alignment horizontal="center"/>
    </xf>
    <xf numFmtId="3" fontId="6" fillId="2" borderId="9" xfId="0" applyNumberFormat="1" applyFont="1" applyFill="1" applyBorder="1" applyAlignment="1">
      <alignment horizontal="center"/>
    </xf>
    <xf numFmtId="3" fontId="6" fillId="2" borderId="10" xfId="0" applyNumberFormat="1" applyFont="1" applyFill="1" applyBorder="1" applyAlignment="1">
      <alignment horizontal="center"/>
    </xf>
    <xf numFmtId="3" fontId="6" fillId="2" borderId="11" xfId="0" applyNumberFormat="1" applyFont="1" applyFill="1" applyBorder="1" applyAlignment="1">
      <alignment horizontal="center"/>
    </xf>
    <xf numFmtId="0" fontId="11" fillId="0" borderId="0" xfId="0" applyFont="1" applyAlignment="1">
      <alignment horizontal="center" vertical="top" wrapText="1"/>
    </xf>
    <xf numFmtId="0" fontId="6" fillId="2" borderId="12" xfId="0" applyFont="1" applyFill="1" applyBorder="1"/>
    <xf numFmtId="0" fontId="6" fillId="0" borderId="5" xfId="0" applyFont="1" applyBorder="1" applyAlignment="1">
      <alignment horizontal="center"/>
    </xf>
    <xf numFmtId="2" fontId="6" fillId="2" borderId="12" xfId="0" applyNumberFormat="1" applyFont="1" applyFill="1" applyBorder="1" applyAlignment="1">
      <alignment horizontal="center"/>
    </xf>
    <xf numFmtId="3" fontId="6" fillId="2" borderId="4" xfId="0" applyNumberFormat="1" applyFont="1" applyFill="1" applyBorder="1" applyAlignment="1">
      <alignment horizontal="center"/>
    </xf>
    <xf numFmtId="3" fontId="6" fillId="2" borderId="0" xfId="0" applyNumberFormat="1" applyFont="1" applyFill="1" applyBorder="1" applyAlignment="1">
      <alignment horizontal="center"/>
    </xf>
    <xf numFmtId="3" fontId="6" fillId="2" borderId="5" xfId="0" applyNumberFormat="1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/>
    </xf>
    <xf numFmtId="3" fontId="6" fillId="2" borderId="6" xfId="0" applyNumberFormat="1" applyFont="1" applyFill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7" fillId="0" borderId="8" xfId="0" applyFont="1" applyBorder="1" applyAlignment="1">
      <alignment horizontal="right"/>
    </xf>
    <xf numFmtId="0" fontId="8" fillId="2" borderId="8" xfId="0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6" fillId="0" borderId="8" xfId="0" applyFont="1" applyBorder="1"/>
    <xf numFmtId="0" fontId="8" fillId="0" borderId="8" xfId="0" applyFont="1" applyBorder="1" applyAlignment="1">
      <alignment horizontal="right"/>
    </xf>
    <xf numFmtId="3" fontId="8" fillId="4" borderId="8" xfId="0" applyNumberFormat="1" applyFont="1" applyFill="1" applyBorder="1"/>
    <xf numFmtId="165" fontId="6" fillId="5" borderId="2" xfId="0" applyNumberFormat="1" applyFont="1" applyFill="1" applyBorder="1" applyAlignment="1">
      <alignment horizontal="center"/>
    </xf>
    <xf numFmtId="165" fontId="6" fillId="5" borderId="8" xfId="0" applyNumberFormat="1" applyFont="1" applyFill="1" applyBorder="1" applyAlignment="1">
      <alignment horizontal="center"/>
    </xf>
    <xf numFmtId="165" fontId="6" fillId="5" borderId="3" xfId="0" applyNumberFormat="1" applyFont="1" applyFill="1" applyBorder="1" applyAlignment="1">
      <alignment horizontal="center"/>
    </xf>
    <xf numFmtId="0" fontId="7" fillId="0" borderId="0" xfId="0" applyFont="1" applyBorder="1" applyAlignment="1">
      <alignment horizontal="right"/>
    </xf>
    <xf numFmtId="0" fontId="13" fillId="0" borderId="0" xfId="0" applyFont="1" applyFill="1" applyBorder="1" applyAlignment="1">
      <alignment horizontal="center"/>
    </xf>
    <xf numFmtId="0" fontId="7" fillId="0" borderId="0" xfId="0" applyFont="1" applyBorder="1"/>
    <xf numFmtId="0" fontId="8" fillId="0" borderId="0" xfId="0" applyFont="1" applyBorder="1" applyAlignment="1">
      <alignment horizontal="right"/>
    </xf>
    <xf numFmtId="3" fontId="8" fillId="4" borderId="0" xfId="0" applyNumberFormat="1" applyFont="1" applyFill="1" applyBorder="1"/>
    <xf numFmtId="2" fontId="6" fillId="0" borderId="0" xfId="0" applyNumberFormat="1" applyFont="1" applyBorder="1" applyAlignment="1">
      <alignment horizontal="center"/>
    </xf>
    <xf numFmtId="164" fontId="6" fillId="2" borderId="0" xfId="0" applyNumberFormat="1" applyFont="1" applyFill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2" fontId="6" fillId="0" borderId="0" xfId="0" applyNumberFormat="1" applyFont="1"/>
    <xf numFmtId="165" fontId="6" fillId="2" borderId="0" xfId="0" applyNumberFormat="1" applyFont="1" applyFill="1" applyBorder="1" applyAlignment="1">
      <alignment horizontal="center"/>
    </xf>
    <xf numFmtId="0" fontId="6" fillId="0" borderId="0" xfId="0" applyFont="1" applyFill="1" applyAlignment="1">
      <alignment horizontal="center"/>
    </xf>
    <xf numFmtId="0" fontId="6" fillId="0" borderId="0" xfId="0" applyFont="1" applyFill="1"/>
    <xf numFmtId="0" fontId="6" fillId="2" borderId="14" xfId="0" applyFont="1" applyFill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8" fillId="0" borderId="10" xfId="0" applyFont="1" applyFill="1" applyBorder="1" applyAlignment="1">
      <alignment horizontal="center"/>
    </xf>
    <xf numFmtId="0" fontId="6" fillId="2" borderId="12" xfId="0" applyFont="1" applyFill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8" fillId="0" borderId="1" xfId="0" applyFont="1" applyFill="1" applyBorder="1" applyAlignment="1">
      <alignment horizontal="center"/>
    </xf>
    <xf numFmtId="0" fontId="6" fillId="0" borderId="6" xfId="0" applyFont="1" applyBorder="1" applyAlignment="1">
      <alignment horizontal="center"/>
    </xf>
    <xf numFmtId="2" fontId="6" fillId="2" borderId="13" xfId="0" applyNumberFormat="1" applyFont="1" applyFill="1" applyBorder="1" applyAlignment="1">
      <alignment horizontal="center"/>
    </xf>
    <xf numFmtId="2" fontId="6" fillId="2" borderId="7" xfId="0" applyNumberFormat="1" applyFont="1" applyFill="1" applyBorder="1" applyAlignment="1">
      <alignment horizontal="center"/>
    </xf>
    <xf numFmtId="0" fontId="6" fillId="0" borderId="12" xfId="0" applyFont="1" applyFill="1" applyBorder="1" applyAlignment="1">
      <alignment horizontal="center"/>
    </xf>
    <xf numFmtId="0" fontId="6" fillId="0" borderId="12" xfId="0" applyFont="1" applyBorder="1"/>
    <xf numFmtId="0" fontId="6" fillId="2" borderId="13" xfId="0" applyFont="1" applyFill="1" applyBorder="1"/>
    <xf numFmtId="0" fontId="6" fillId="0" borderId="7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center"/>
    </xf>
    <xf numFmtId="0" fontId="6" fillId="0" borderId="0" xfId="0" applyFont="1" applyFill="1" applyBorder="1"/>
    <xf numFmtId="0" fontId="6" fillId="2" borderId="0" xfId="0" applyFont="1" applyFill="1" applyBorder="1" applyAlignment="1">
      <alignment horizontal="center"/>
    </xf>
    <xf numFmtId="0" fontId="6" fillId="2" borderId="13" xfId="0" applyFont="1" applyFill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0" borderId="11" xfId="0" applyFont="1" applyFill="1" applyBorder="1"/>
    <xf numFmtId="0" fontId="6" fillId="0" borderId="5" xfId="0" applyFont="1" applyFill="1" applyBorder="1"/>
    <xf numFmtId="0" fontId="6" fillId="0" borderId="7" xfId="0" applyFont="1" applyFill="1" applyBorder="1"/>
    <xf numFmtId="0" fontId="6" fillId="0" borderId="10" xfId="0" applyFont="1" applyFill="1" applyBorder="1"/>
    <xf numFmtId="0" fontId="6" fillId="0" borderId="1" xfId="0" applyFont="1" applyFill="1" applyBorder="1"/>
    <xf numFmtId="166" fontId="6" fillId="4" borderId="9" xfId="0" applyNumberFormat="1" applyFont="1" applyFill="1" applyBorder="1" applyAlignment="1">
      <alignment horizontal="center"/>
    </xf>
    <xf numFmtId="166" fontId="6" fillId="4" borderId="10" xfId="0" applyNumberFormat="1" applyFont="1" applyFill="1" applyBorder="1" applyAlignment="1">
      <alignment horizontal="center"/>
    </xf>
    <xf numFmtId="166" fontId="6" fillId="4" borderId="11" xfId="0" applyNumberFormat="1" applyFont="1" applyFill="1" applyBorder="1" applyAlignment="1">
      <alignment horizontal="center"/>
    </xf>
    <xf numFmtId="166" fontId="6" fillId="4" borderId="4" xfId="0" applyNumberFormat="1" applyFont="1" applyFill="1" applyBorder="1" applyAlignment="1">
      <alignment horizontal="center"/>
    </xf>
    <xf numFmtId="166" fontId="6" fillId="4" borderId="0" xfId="0" applyNumberFormat="1" applyFont="1" applyFill="1" applyBorder="1" applyAlignment="1">
      <alignment horizontal="center"/>
    </xf>
    <xf numFmtId="166" fontId="6" fillId="4" borderId="5" xfId="0" applyNumberFormat="1" applyFont="1" applyFill="1" applyBorder="1" applyAlignment="1">
      <alignment horizontal="center"/>
    </xf>
    <xf numFmtId="166" fontId="6" fillId="4" borderId="6" xfId="0" applyNumberFormat="1" applyFont="1" applyFill="1" applyBorder="1" applyAlignment="1">
      <alignment horizontal="center"/>
    </xf>
    <xf numFmtId="166" fontId="6" fillId="4" borderId="1" xfId="0" applyNumberFormat="1" applyFont="1" applyFill="1" applyBorder="1" applyAlignment="1">
      <alignment horizontal="center"/>
    </xf>
    <xf numFmtId="166" fontId="6" fillId="4" borderId="7" xfId="0" applyNumberFormat="1" applyFont="1" applyFill="1" applyBorder="1" applyAlignment="1">
      <alignment horizontal="center"/>
    </xf>
    <xf numFmtId="0" fontId="6" fillId="6" borderId="12" xfId="0" applyFont="1" applyFill="1" applyBorder="1"/>
    <xf numFmtId="0" fontId="8" fillId="0" borderId="4" xfId="0" applyFont="1" applyBorder="1" applyAlignment="1">
      <alignment horizontal="left"/>
    </xf>
    <xf numFmtId="0" fontId="8" fillId="0" borderId="5" xfId="0" applyFont="1" applyBorder="1" applyAlignment="1">
      <alignment horizontal="left"/>
    </xf>
    <xf numFmtId="0" fontId="7" fillId="0" borderId="9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left"/>
    </xf>
    <xf numFmtId="0" fontId="8" fillId="0" borderId="11" xfId="0" applyFont="1" applyBorder="1" applyAlignment="1">
      <alignment horizontal="left"/>
    </xf>
    <xf numFmtId="0" fontId="7" fillId="0" borderId="1" xfId="0" applyFont="1" applyBorder="1" applyAlignment="1">
      <alignment horizontal="center"/>
    </xf>
    <xf numFmtId="0" fontId="8" fillId="0" borderId="2" xfId="0" applyFont="1" applyFill="1" applyBorder="1" applyAlignment="1">
      <alignment horizontal="center"/>
    </xf>
    <xf numFmtId="0" fontId="8" fillId="0" borderId="3" xfId="0" applyFont="1" applyFill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6" fillId="2" borderId="10" xfId="0" applyFont="1" applyFill="1" applyBorder="1" applyAlignment="1">
      <alignment horizontal="left"/>
    </xf>
    <xf numFmtId="0" fontId="6" fillId="2" borderId="11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/>
    </xf>
    <xf numFmtId="0" fontId="6" fillId="2" borderId="7" xfId="0" applyFont="1" applyFill="1" applyBorder="1" applyAlignment="1">
      <alignment horizontal="left"/>
    </xf>
    <xf numFmtId="0" fontId="6" fillId="2" borderId="0" xfId="0" applyFont="1" applyFill="1" applyBorder="1" applyAlignment="1">
      <alignment horizontal="left"/>
    </xf>
    <xf numFmtId="0" fontId="6" fillId="2" borderId="5" xfId="0" applyFont="1" applyFill="1" applyBorder="1" applyAlignment="1">
      <alignment horizontal="left"/>
    </xf>
    <xf numFmtId="0" fontId="8" fillId="0" borderId="0" xfId="0" applyFont="1" applyAlignment="1">
      <alignment horizontal="center"/>
    </xf>
    <xf numFmtId="0" fontId="8" fillId="0" borderId="10" xfId="0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8" fillId="0" borderId="8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0" xfId="0" applyFont="1" applyFill="1" applyBorder="1" applyAlignment="1">
      <alignment horizontal="center" vertical="center"/>
    </xf>
    <xf numFmtId="0" fontId="14" fillId="0" borderId="0" xfId="0" applyFont="1" applyAlignment="1">
      <alignment horizontal="left"/>
    </xf>
    <xf numFmtId="0" fontId="6" fillId="0" borderId="6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/>
    </xf>
    <xf numFmtId="0" fontId="6" fillId="0" borderId="7" xfId="0" applyFont="1" applyFill="1" applyBorder="1" applyAlignment="1">
      <alignment horizontal="center"/>
    </xf>
    <xf numFmtId="0" fontId="6" fillId="0" borderId="4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/>
    </xf>
    <xf numFmtId="0" fontId="6" fillId="0" borderId="9" xfId="0" applyFont="1" applyFill="1" applyBorder="1" applyAlignment="1">
      <alignment horizontal="center"/>
    </xf>
    <xf numFmtId="0" fontId="6" fillId="0" borderId="10" xfId="0" applyFont="1" applyFill="1" applyBorder="1" applyAlignment="1">
      <alignment horizontal="center"/>
    </xf>
    <xf numFmtId="0" fontId="6" fillId="0" borderId="11" xfId="0" applyFont="1" applyFill="1" applyBorder="1" applyAlignment="1">
      <alignment horizontal="center"/>
    </xf>
    <xf numFmtId="0" fontId="8" fillId="0" borderId="6" xfId="0" applyFont="1" applyBorder="1" applyAlignment="1">
      <alignment horizontal="left"/>
    </xf>
    <xf numFmtId="0" fontId="8" fillId="0" borderId="7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4" fontId="8" fillId="0" borderId="10" xfId="0" applyNumberFormat="1" applyFont="1" applyBorder="1" applyAlignment="1">
      <alignment horizontal="center"/>
    </xf>
    <xf numFmtId="4" fontId="8" fillId="0" borderId="11" xfId="0" applyNumberFormat="1" applyFont="1" applyBorder="1" applyAlignment="1">
      <alignment horizontal="center"/>
    </xf>
  </cellXfs>
  <cellStyles count="2">
    <cellStyle name="Normal" xfId="0" builtinId="0"/>
    <cellStyle name="Normal 3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normalizeH="0" baseline="0">
                <a:solidFill>
                  <a:schemeClr val="tx1"/>
                </a:solidFill>
                <a:latin typeface="+mn-lt"/>
                <a:ea typeface="+mj-ea"/>
                <a:cs typeface="+mj-cs"/>
              </a:defRPr>
            </a:pPr>
            <a:r>
              <a:rPr lang="en-CA" sz="1400">
                <a:solidFill>
                  <a:schemeClr val="tx1"/>
                </a:solidFill>
                <a:latin typeface="+mn-lt"/>
              </a:rPr>
              <a:t>Traffic</a:t>
            </a:r>
            <a:r>
              <a:rPr lang="en-CA" sz="1400" baseline="0">
                <a:solidFill>
                  <a:schemeClr val="tx1"/>
                </a:solidFill>
                <a:latin typeface="+mn-lt"/>
              </a:rPr>
              <a:t> Schedule</a:t>
            </a:r>
            <a:endParaRPr lang="en-CA" sz="1400">
              <a:solidFill>
                <a:schemeClr val="tx1"/>
              </a:solidFill>
              <a:latin typeface="+mn-lt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Summary!$H$3</c:f>
              <c:strCache>
                <c:ptCount val="1"/>
                <c:pt idx="0">
                  <c:v>WD</c:v>
                </c:pt>
              </c:strCache>
            </c:strRef>
          </c:tx>
          <c:spPr>
            <a:ln w="12700" cap="flat" cmpd="dbl" algn="ctr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Summary!$G$4:$G$27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Summary!$H$4:$H$27</c:f>
              <c:numCache>
                <c:formatCode>0.00</c:formatCode>
                <c:ptCount val="24"/>
                <c:pt idx="0">
                  <c:v>0.49</c:v>
                </c:pt>
                <c:pt idx="1">
                  <c:v>0.36</c:v>
                </c:pt>
                <c:pt idx="2">
                  <c:v>0.24</c:v>
                </c:pt>
                <c:pt idx="3">
                  <c:v>0.12</c:v>
                </c:pt>
                <c:pt idx="4">
                  <c:v>0.04</c:v>
                </c:pt>
                <c:pt idx="5">
                  <c:v>0.1</c:v>
                </c:pt>
                <c:pt idx="6">
                  <c:v>0.28999999999999998</c:v>
                </c:pt>
                <c:pt idx="7">
                  <c:v>0.65</c:v>
                </c:pt>
                <c:pt idx="8">
                  <c:v>0.87</c:v>
                </c:pt>
                <c:pt idx="9">
                  <c:v>0.85</c:v>
                </c:pt>
                <c:pt idx="10">
                  <c:v>0.77</c:v>
                </c:pt>
                <c:pt idx="11">
                  <c:v>0.71</c:v>
                </c:pt>
                <c:pt idx="12">
                  <c:v>0.71</c:v>
                </c:pt>
                <c:pt idx="13">
                  <c:v>0.56000000000000005</c:v>
                </c:pt>
                <c:pt idx="14">
                  <c:v>0.36</c:v>
                </c:pt>
                <c:pt idx="15">
                  <c:v>0.31</c:v>
                </c:pt>
                <c:pt idx="16">
                  <c:v>0.3</c:v>
                </c:pt>
                <c:pt idx="17">
                  <c:v>0.42</c:v>
                </c:pt>
                <c:pt idx="18">
                  <c:v>0.59</c:v>
                </c:pt>
                <c:pt idx="19">
                  <c:v>0.67</c:v>
                </c:pt>
                <c:pt idx="20">
                  <c:v>0.79</c:v>
                </c:pt>
                <c:pt idx="21">
                  <c:v>0.86</c:v>
                </c:pt>
                <c:pt idx="22">
                  <c:v>0.84</c:v>
                </c:pt>
                <c:pt idx="23">
                  <c:v>0.65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48-4769-89EF-2EA9AFC98706}"/>
            </c:ext>
          </c:extLst>
        </c:ser>
        <c:ser>
          <c:idx val="1"/>
          <c:order val="1"/>
          <c:tx>
            <c:strRef>
              <c:f>Summary!$I$3</c:f>
              <c:strCache>
                <c:ptCount val="1"/>
                <c:pt idx="0">
                  <c:v>Fri</c:v>
                </c:pt>
              </c:strCache>
            </c:strRef>
          </c:tx>
          <c:spPr>
            <a:ln w="12700" cap="flat" cmpd="dbl" algn="ctr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Summary!$G$4:$G$27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Summary!$I$4:$I$27</c:f>
              <c:numCache>
                <c:formatCode>0.00</c:formatCode>
                <c:ptCount val="24"/>
                <c:pt idx="0">
                  <c:v>0.89</c:v>
                </c:pt>
                <c:pt idx="1">
                  <c:v>0.77</c:v>
                </c:pt>
                <c:pt idx="2">
                  <c:v>0.56999999999999995</c:v>
                </c:pt>
                <c:pt idx="3">
                  <c:v>0.48</c:v>
                </c:pt>
                <c:pt idx="4">
                  <c:v>0.36</c:v>
                </c:pt>
                <c:pt idx="5">
                  <c:v>0.37</c:v>
                </c:pt>
                <c:pt idx="6">
                  <c:v>0.39</c:v>
                </c:pt>
                <c:pt idx="7">
                  <c:v>0.36</c:v>
                </c:pt>
                <c:pt idx="8">
                  <c:v>0.42</c:v>
                </c:pt>
                <c:pt idx="9">
                  <c:v>0.48</c:v>
                </c:pt>
                <c:pt idx="10">
                  <c:v>0.39</c:v>
                </c:pt>
                <c:pt idx="11">
                  <c:v>0.31</c:v>
                </c:pt>
                <c:pt idx="12">
                  <c:v>0.19</c:v>
                </c:pt>
                <c:pt idx="13">
                  <c:v>0.08</c:v>
                </c:pt>
                <c:pt idx="14">
                  <c:v>0.13</c:v>
                </c:pt>
                <c:pt idx="15">
                  <c:v>0.11</c:v>
                </c:pt>
                <c:pt idx="16">
                  <c:v>0.16</c:v>
                </c:pt>
                <c:pt idx="17">
                  <c:v>0.28000000000000003</c:v>
                </c:pt>
                <c:pt idx="18">
                  <c:v>0.51</c:v>
                </c:pt>
                <c:pt idx="19">
                  <c:v>0.66</c:v>
                </c:pt>
                <c:pt idx="20">
                  <c:v>0.83</c:v>
                </c:pt>
                <c:pt idx="21">
                  <c:v>1</c:v>
                </c:pt>
                <c:pt idx="22">
                  <c:v>0.93</c:v>
                </c:pt>
                <c:pt idx="23">
                  <c:v>0.83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48-4769-89EF-2EA9AFC98706}"/>
            </c:ext>
          </c:extLst>
        </c:ser>
        <c:ser>
          <c:idx val="2"/>
          <c:order val="2"/>
          <c:tx>
            <c:strRef>
              <c:f>Summary!$J$3</c:f>
              <c:strCache>
                <c:ptCount val="1"/>
                <c:pt idx="0">
                  <c:v>Sat</c:v>
                </c:pt>
              </c:strCache>
            </c:strRef>
          </c:tx>
          <c:spPr>
            <a:ln w="12700" cap="flat" cmpd="dbl" algn="ctr">
              <a:solidFill>
                <a:schemeClr val="tx1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Summary!$G$4:$G$27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Summary!$J$4:$J$27</c:f>
              <c:numCache>
                <c:formatCode>0.00</c:formatCode>
                <c:ptCount val="24"/>
                <c:pt idx="0">
                  <c:v>0.49</c:v>
                </c:pt>
                <c:pt idx="1">
                  <c:v>0.36</c:v>
                </c:pt>
                <c:pt idx="2">
                  <c:v>0.24</c:v>
                </c:pt>
                <c:pt idx="3">
                  <c:v>0.12</c:v>
                </c:pt>
                <c:pt idx="4">
                  <c:v>0.04</c:v>
                </c:pt>
                <c:pt idx="5">
                  <c:v>0.1</c:v>
                </c:pt>
                <c:pt idx="6">
                  <c:v>0.28999999999999998</c:v>
                </c:pt>
                <c:pt idx="7">
                  <c:v>0.65</c:v>
                </c:pt>
                <c:pt idx="8">
                  <c:v>0.87</c:v>
                </c:pt>
                <c:pt idx="9">
                  <c:v>0.85</c:v>
                </c:pt>
                <c:pt idx="10">
                  <c:v>0.77</c:v>
                </c:pt>
                <c:pt idx="11">
                  <c:v>0.71</c:v>
                </c:pt>
                <c:pt idx="12">
                  <c:v>0.71</c:v>
                </c:pt>
                <c:pt idx="13">
                  <c:v>0.56000000000000005</c:v>
                </c:pt>
                <c:pt idx="14">
                  <c:v>0.36</c:v>
                </c:pt>
                <c:pt idx="15">
                  <c:v>0.31</c:v>
                </c:pt>
                <c:pt idx="16">
                  <c:v>0.3</c:v>
                </c:pt>
                <c:pt idx="17">
                  <c:v>0.42</c:v>
                </c:pt>
                <c:pt idx="18">
                  <c:v>0.59</c:v>
                </c:pt>
                <c:pt idx="19">
                  <c:v>0.67</c:v>
                </c:pt>
                <c:pt idx="20">
                  <c:v>0.79</c:v>
                </c:pt>
                <c:pt idx="21">
                  <c:v>0.86</c:v>
                </c:pt>
                <c:pt idx="22">
                  <c:v>0.84</c:v>
                </c:pt>
                <c:pt idx="23">
                  <c:v>0.65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48-4769-89EF-2EA9AFC9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125128"/>
        <c:axId val="514125520"/>
      </c:scatterChart>
      <c:valAx>
        <c:axId val="514125128"/>
        <c:scaling>
          <c:orientation val="minMax"/>
          <c:max val="2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25520"/>
        <c:crosses val="autoZero"/>
        <c:crossBetween val="midCat"/>
        <c:majorUnit val="6"/>
      </c:valAx>
      <c:valAx>
        <c:axId val="51412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Fraction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25128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27</xdr:row>
          <xdr:rowOff>123825</xdr:rowOff>
        </xdr:from>
        <xdr:to>
          <xdr:col>10</xdr:col>
          <xdr:colOff>28575</xdr:colOff>
          <xdr:row>34</xdr:row>
          <xdr:rowOff>9525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24</xdr:col>
      <xdr:colOff>535782</xdr:colOff>
      <xdr:row>28</xdr:row>
      <xdr:rowOff>98819</xdr:rowOff>
    </xdr:from>
    <xdr:to>
      <xdr:col>29</xdr:col>
      <xdr:colOff>345282</xdr:colOff>
      <xdr:row>42</xdr:row>
      <xdr:rowOff>175019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E46"/>
  <sheetViews>
    <sheetView showGridLines="0" tabSelected="1" topLeftCell="A10" zoomScale="170" zoomScaleNormal="170" workbookViewId="0">
      <selection activeCell="D33" sqref="D33"/>
    </sheetView>
  </sheetViews>
  <sheetFormatPr defaultRowHeight="14.25" x14ac:dyDescent="0.2"/>
  <cols>
    <col min="1" max="1" width="1.42578125" style="3" customWidth="1"/>
    <col min="2" max="2" width="16.7109375" style="3" customWidth="1"/>
    <col min="3" max="3" width="40.7109375" style="3" customWidth="1"/>
    <col min="4" max="4" width="7.140625" style="3" customWidth="1"/>
    <col min="5" max="5" width="7.42578125" style="3" customWidth="1"/>
    <col min="6" max="6" width="2" style="3" customWidth="1"/>
    <col min="7" max="7" width="3.42578125" style="3" customWidth="1"/>
    <col min="8" max="10" width="4.85546875" style="3" customWidth="1"/>
    <col min="11" max="11" width="2.140625" style="3" customWidth="1"/>
    <col min="12" max="12" width="6.85546875" style="3" customWidth="1"/>
    <col min="13" max="13" width="25.85546875" style="3" customWidth="1"/>
    <col min="14" max="14" width="7.42578125" style="3" customWidth="1"/>
    <col min="15" max="15" width="10.85546875" style="3" customWidth="1"/>
    <col min="16" max="18" width="15.140625" style="3" customWidth="1"/>
    <col min="19" max="21" width="12.28515625" style="3" customWidth="1"/>
    <col min="22" max="22" width="3.85546875" style="3" customWidth="1"/>
    <col min="23" max="24" width="10.140625" style="3" customWidth="1"/>
    <col min="25" max="25" width="9.140625" style="3" customWidth="1"/>
    <col min="26" max="26" width="13.28515625" style="3" customWidth="1"/>
    <col min="27" max="27" width="9.140625" style="3" customWidth="1"/>
    <col min="28" max="28" width="25.28515625" style="3" customWidth="1"/>
    <col min="29" max="31" width="14.7109375" style="3" customWidth="1"/>
    <col min="32" max="16384" width="9.140625" style="3"/>
  </cols>
  <sheetData>
    <row r="1" spans="2:31" ht="6.75" customHeight="1" x14ac:dyDescent="0.2"/>
    <row r="2" spans="2:31" ht="17.25" x14ac:dyDescent="0.25">
      <c r="B2" s="102" t="s">
        <v>197</v>
      </c>
      <c r="C2" s="102"/>
      <c r="D2" s="102"/>
      <c r="E2" s="102"/>
      <c r="G2" s="102" t="s">
        <v>198</v>
      </c>
      <c r="H2" s="102"/>
      <c r="I2" s="102"/>
      <c r="J2" s="102"/>
      <c r="L2" s="102" t="s">
        <v>199</v>
      </c>
      <c r="M2" s="102"/>
      <c r="N2" s="102"/>
      <c r="O2" s="102"/>
      <c r="P2" s="113" t="s">
        <v>282</v>
      </c>
      <c r="Q2" s="113"/>
      <c r="R2" s="113"/>
      <c r="S2" s="113" t="s">
        <v>250</v>
      </c>
      <c r="T2" s="113"/>
      <c r="U2" s="113"/>
      <c r="Y2" s="117" t="s">
        <v>217</v>
      </c>
      <c r="Z2" s="117"/>
      <c r="AA2" s="4">
        <f>COUNT(S4:U19)</f>
        <v>48</v>
      </c>
    </row>
    <row r="3" spans="2:31" ht="17.25" x14ac:dyDescent="0.25">
      <c r="B3" s="103" t="s">
        <v>181</v>
      </c>
      <c r="C3" s="104"/>
      <c r="D3" s="5" t="s">
        <v>173</v>
      </c>
      <c r="E3" s="6" t="s">
        <v>167</v>
      </c>
      <c r="F3" s="7"/>
      <c r="G3" s="8" t="s">
        <v>189</v>
      </c>
      <c r="H3" s="9" t="s">
        <v>195</v>
      </c>
      <c r="I3" s="9" t="s">
        <v>281</v>
      </c>
      <c r="J3" s="10" t="s">
        <v>196</v>
      </c>
      <c r="K3" s="11"/>
      <c r="L3" s="8" t="s">
        <v>134</v>
      </c>
      <c r="M3" s="9" t="s">
        <v>194</v>
      </c>
      <c r="N3" s="9" t="s">
        <v>193</v>
      </c>
      <c r="O3" s="9" t="s">
        <v>283</v>
      </c>
      <c r="P3" s="12" t="s">
        <v>17</v>
      </c>
      <c r="Q3" s="13" t="s">
        <v>34</v>
      </c>
      <c r="R3" s="14" t="s">
        <v>35</v>
      </c>
      <c r="S3" s="9" t="s">
        <v>17</v>
      </c>
      <c r="T3" s="9" t="s">
        <v>34</v>
      </c>
      <c r="U3" s="15" t="s">
        <v>35</v>
      </c>
      <c r="Y3" s="117" t="s">
        <v>206</v>
      </c>
      <c r="Z3" s="117"/>
      <c r="AA3" s="16">
        <f>VLOOKUP(N20,Y4:AA19,3,0)</f>
        <v>1</v>
      </c>
      <c r="AB3" s="3" t="s">
        <v>16</v>
      </c>
      <c r="AC3" s="3" t="s">
        <v>242</v>
      </c>
      <c r="AD3" s="3" t="s">
        <v>243</v>
      </c>
      <c r="AE3" s="3" t="s">
        <v>244</v>
      </c>
    </row>
    <row r="4" spans="2:31" ht="15" customHeight="1" x14ac:dyDescent="0.2">
      <c r="B4" s="97" t="s">
        <v>258</v>
      </c>
      <c r="C4" s="80" t="s">
        <v>169</v>
      </c>
      <c r="D4" s="17">
        <v>747</v>
      </c>
      <c r="E4" s="18" t="s">
        <v>168</v>
      </c>
      <c r="F4" s="19"/>
      <c r="G4" s="20">
        <v>1</v>
      </c>
      <c r="H4" s="21">
        <v>0.49</v>
      </c>
      <c r="I4" s="22">
        <v>0.89</v>
      </c>
      <c r="J4" s="22">
        <v>0.49</v>
      </c>
      <c r="L4" s="20" t="s">
        <v>135</v>
      </c>
      <c r="M4" s="23" t="s">
        <v>151</v>
      </c>
      <c r="N4" s="24">
        <v>1</v>
      </c>
      <c r="O4" s="25">
        <v>511</v>
      </c>
      <c r="P4" s="26">
        <v>0</v>
      </c>
      <c r="Q4" s="27">
        <v>0</v>
      </c>
      <c r="R4" s="28">
        <v>0</v>
      </c>
      <c r="S4" s="85">
        <f>IF(P4&gt;0,P4/SUM($P$4:$R$19),0)</f>
        <v>0</v>
      </c>
      <c r="T4" s="86">
        <f t="shared" ref="T4:U19" si="0">IF(Q4&gt;0,Q4/SUM($P$4:$R$19),0)</f>
        <v>0</v>
      </c>
      <c r="U4" s="87">
        <f t="shared" si="0"/>
        <v>0</v>
      </c>
      <c r="Y4" s="29" t="s">
        <v>0</v>
      </c>
      <c r="Z4" s="3" t="s">
        <v>18</v>
      </c>
      <c r="AA4" s="3">
        <v>1</v>
      </c>
      <c r="AB4" s="23" t="s">
        <v>151</v>
      </c>
      <c r="AC4" s="27">
        <v>250000</v>
      </c>
      <c r="AD4" s="27">
        <v>25000</v>
      </c>
      <c r="AE4" s="27">
        <v>25000</v>
      </c>
    </row>
    <row r="5" spans="2:31" x14ac:dyDescent="0.2">
      <c r="B5" s="98"/>
      <c r="C5" s="81" t="s">
        <v>170</v>
      </c>
      <c r="D5" s="94">
        <v>68.080158170000004</v>
      </c>
      <c r="E5" s="31" t="s">
        <v>168</v>
      </c>
      <c r="F5" s="19"/>
      <c r="G5" s="20">
        <v>2</v>
      </c>
      <c r="H5" s="32">
        <v>0.36</v>
      </c>
      <c r="I5" s="22">
        <v>0.77</v>
      </c>
      <c r="J5" s="22">
        <v>0.36</v>
      </c>
      <c r="L5" s="20" t="s">
        <v>136</v>
      </c>
      <c r="M5" s="23" t="s">
        <v>152</v>
      </c>
      <c r="N5" s="24">
        <v>5</v>
      </c>
      <c r="O5" s="25">
        <v>22422</v>
      </c>
      <c r="P5" s="33">
        <v>27831</v>
      </c>
      <c r="Q5" s="34">
        <v>0</v>
      </c>
      <c r="R5" s="35">
        <v>0</v>
      </c>
      <c r="S5" s="88">
        <f t="shared" ref="S5:S19" si="1">IF(P5&gt;0,P5/SUM($P$4:$R$19),0)</f>
        <v>4.1682017918280419E-2</v>
      </c>
      <c r="T5" s="89">
        <f t="shared" si="0"/>
        <v>0</v>
      </c>
      <c r="U5" s="90">
        <f t="shared" si="0"/>
        <v>0</v>
      </c>
      <c r="Y5" s="29" t="s">
        <v>1</v>
      </c>
      <c r="Z5" s="3" t="s">
        <v>19</v>
      </c>
      <c r="AA5" s="3">
        <v>2</v>
      </c>
      <c r="AB5" s="23" t="s">
        <v>152</v>
      </c>
      <c r="AC5" s="34">
        <v>100000</v>
      </c>
      <c r="AD5" s="34">
        <v>20000</v>
      </c>
      <c r="AE5" s="34">
        <v>20000</v>
      </c>
    </row>
    <row r="6" spans="2:31" x14ac:dyDescent="0.2">
      <c r="B6" s="98"/>
      <c r="C6" s="81" t="s">
        <v>227</v>
      </c>
      <c r="D6" s="94">
        <v>118.4414148</v>
      </c>
      <c r="E6" s="36" t="s">
        <v>168</v>
      </c>
      <c r="F6" s="19"/>
      <c r="G6" s="20">
        <v>3</v>
      </c>
      <c r="H6" s="32">
        <v>0.24</v>
      </c>
      <c r="I6" s="22">
        <v>0.56999999999999995</v>
      </c>
      <c r="J6" s="22">
        <v>0.24</v>
      </c>
      <c r="L6" s="20" t="s">
        <v>137</v>
      </c>
      <c r="M6" s="23" t="s">
        <v>153</v>
      </c>
      <c r="N6" s="24">
        <v>6</v>
      </c>
      <c r="O6" s="25">
        <v>11345</v>
      </c>
      <c r="P6" s="33">
        <v>99666</v>
      </c>
      <c r="Q6" s="34">
        <v>0</v>
      </c>
      <c r="R6" s="35">
        <v>0</v>
      </c>
      <c r="S6" s="88">
        <f t="shared" si="1"/>
        <v>0.14926808227671792</v>
      </c>
      <c r="T6" s="89">
        <f t="shared" si="0"/>
        <v>0</v>
      </c>
      <c r="U6" s="90">
        <f t="shared" si="0"/>
        <v>0</v>
      </c>
      <c r="Y6" s="29" t="s">
        <v>2</v>
      </c>
      <c r="Z6" s="3" t="s">
        <v>20</v>
      </c>
      <c r="AA6" s="3">
        <v>3</v>
      </c>
      <c r="AB6" s="23" t="s">
        <v>153</v>
      </c>
      <c r="AC6" s="34">
        <v>400000</v>
      </c>
      <c r="AD6" s="34">
        <v>40000</v>
      </c>
      <c r="AE6" s="34">
        <v>20000</v>
      </c>
    </row>
    <row r="7" spans="2:31" x14ac:dyDescent="0.2">
      <c r="B7" s="98"/>
      <c r="C7" s="81" t="s">
        <v>228</v>
      </c>
      <c r="D7" s="30">
        <v>10</v>
      </c>
      <c r="E7" s="36" t="s">
        <v>168</v>
      </c>
      <c r="F7" s="19"/>
      <c r="G7" s="20">
        <v>4</v>
      </c>
      <c r="H7" s="32">
        <v>0.12</v>
      </c>
      <c r="I7" s="22">
        <v>0.48</v>
      </c>
      <c r="J7" s="22">
        <v>0.12</v>
      </c>
      <c r="L7" s="20" t="s">
        <v>138</v>
      </c>
      <c r="M7" s="23" t="s">
        <v>154</v>
      </c>
      <c r="N7" s="24">
        <v>12</v>
      </c>
      <c r="O7" s="25">
        <v>46320</v>
      </c>
      <c r="P7" s="33">
        <v>140886</v>
      </c>
      <c r="Q7" s="34">
        <v>0</v>
      </c>
      <c r="R7" s="35">
        <v>0</v>
      </c>
      <c r="S7" s="88">
        <f t="shared" si="1"/>
        <v>0.21100257901027111</v>
      </c>
      <c r="T7" s="89">
        <f t="shared" si="0"/>
        <v>0</v>
      </c>
      <c r="U7" s="90">
        <f t="shared" si="0"/>
        <v>0</v>
      </c>
      <c r="Y7" s="29" t="s">
        <v>3</v>
      </c>
      <c r="Z7" s="3" t="s">
        <v>21</v>
      </c>
      <c r="AA7" s="3">
        <v>4</v>
      </c>
      <c r="AB7" s="23" t="s">
        <v>154</v>
      </c>
      <c r="AC7" s="34">
        <v>4000000</v>
      </c>
      <c r="AD7" s="34">
        <v>80000</v>
      </c>
      <c r="AE7" s="34">
        <v>40000</v>
      </c>
    </row>
    <row r="8" spans="2:31" x14ac:dyDescent="0.2">
      <c r="B8" s="98"/>
      <c r="C8" s="81" t="s">
        <v>229</v>
      </c>
      <c r="D8" s="30">
        <v>10</v>
      </c>
      <c r="E8" s="36" t="s">
        <v>168</v>
      </c>
      <c r="F8" s="19"/>
      <c r="G8" s="20">
        <v>5</v>
      </c>
      <c r="H8" s="32">
        <v>0.04</v>
      </c>
      <c r="I8" s="22">
        <v>0.36</v>
      </c>
      <c r="J8" s="22">
        <v>0.04</v>
      </c>
      <c r="L8" s="20" t="s">
        <v>139</v>
      </c>
      <c r="M8" s="23" t="s">
        <v>155</v>
      </c>
      <c r="N8" s="24">
        <v>3</v>
      </c>
      <c r="O8" s="25">
        <v>4982.2</v>
      </c>
      <c r="P8" s="33">
        <v>0</v>
      </c>
      <c r="Q8" s="34">
        <v>0</v>
      </c>
      <c r="R8" s="35">
        <v>0</v>
      </c>
      <c r="S8" s="88">
        <f t="shared" si="1"/>
        <v>0</v>
      </c>
      <c r="T8" s="89">
        <f t="shared" si="0"/>
        <v>0</v>
      </c>
      <c r="U8" s="90">
        <f t="shared" si="0"/>
        <v>0</v>
      </c>
      <c r="Y8" s="29" t="s">
        <v>4</v>
      </c>
      <c r="Z8" s="3" t="s">
        <v>22</v>
      </c>
      <c r="AA8" s="3">
        <v>5</v>
      </c>
      <c r="AB8" s="23" t="s">
        <v>155</v>
      </c>
      <c r="AC8" s="34">
        <v>1000000</v>
      </c>
      <c r="AD8" s="34">
        <v>100000</v>
      </c>
      <c r="AE8" s="34">
        <v>10000</v>
      </c>
    </row>
    <row r="9" spans="2:31" ht="15" customHeight="1" x14ac:dyDescent="0.2">
      <c r="B9" s="98"/>
      <c r="C9" s="81" t="s">
        <v>200</v>
      </c>
      <c r="D9" s="30">
        <v>1.04</v>
      </c>
      <c r="E9" s="31" t="s">
        <v>172</v>
      </c>
      <c r="G9" s="20">
        <v>6</v>
      </c>
      <c r="H9" s="32">
        <v>0.1</v>
      </c>
      <c r="I9" s="22">
        <v>0.37</v>
      </c>
      <c r="J9" s="22">
        <v>0.1</v>
      </c>
      <c r="L9" s="20" t="s">
        <v>140</v>
      </c>
      <c r="M9" s="23" t="s">
        <v>156</v>
      </c>
      <c r="N9" s="24">
        <v>4</v>
      </c>
      <c r="O9" s="25">
        <v>3135</v>
      </c>
      <c r="P9" s="33">
        <v>382086</v>
      </c>
      <c r="Q9" s="34">
        <v>0</v>
      </c>
      <c r="R9" s="35">
        <v>0</v>
      </c>
      <c r="S9" s="88">
        <f t="shared" si="1"/>
        <v>0.57224373893586622</v>
      </c>
      <c r="T9" s="89">
        <f t="shared" si="0"/>
        <v>0</v>
      </c>
      <c r="U9" s="90">
        <f t="shared" si="0"/>
        <v>0</v>
      </c>
      <c r="Y9" s="29" t="s">
        <v>5</v>
      </c>
      <c r="Z9" s="3" t="s">
        <v>23</v>
      </c>
      <c r="AA9" s="3">
        <v>6</v>
      </c>
      <c r="AB9" s="23" t="s">
        <v>156</v>
      </c>
      <c r="AC9" s="34">
        <v>2000000</v>
      </c>
      <c r="AD9" s="34">
        <v>2000000</v>
      </c>
      <c r="AE9" s="34">
        <v>1000000</v>
      </c>
    </row>
    <row r="10" spans="2:31" ht="15" customHeight="1" x14ac:dyDescent="0.2">
      <c r="B10" s="98"/>
      <c r="C10" s="81" t="s">
        <v>230</v>
      </c>
      <c r="D10" s="94">
        <v>0.18755864019999999</v>
      </c>
      <c r="E10" s="31" t="s">
        <v>172</v>
      </c>
      <c r="F10" s="19"/>
      <c r="G10" s="20">
        <v>7</v>
      </c>
      <c r="H10" s="32">
        <v>0.28999999999999998</v>
      </c>
      <c r="I10" s="22">
        <v>0.39</v>
      </c>
      <c r="J10" s="22">
        <v>0.28999999999999998</v>
      </c>
      <c r="L10" s="20" t="s">
        <v>141</v>
      </c>
      <c r="M10" s="23" t="s">
        <v>157</v>
      </c>
      <c r="N10" s="24">
        <v>3</v>
      </c>
      <c r="O10" s="25">
        <v>3804.01</v>
      </c>
      <c r="P10" s="33">
        <v>0</v>
      </c>
      <c r="Q10" s="34">
        <v>0</v>
      </c>
      <c r="R10" s="35">
        <v>0</v>
      </c>
      <c r="S10" s="88">
        <f t="shared" si="1"/>
        <v>0</v>
      </c>
      <c r="T10" s="89">
        <f t="shared" si="0"/>
        <v>0</v>
      </c>
      <c r="U10" s="90">
        <f t="shared" si="0"/>
        <v>0</v>
      </c>
      <c r="Y10" s="29" t="s">
        <v>6</v>
      </c>
      <c r="Z10" s="3" t="s">
        <v>24</v>
      </c>
      <c r="AA10" s="3">
        <v>7</v>
      </c>
      <c r="AB10" s="23" t="s">
        <v>157</v>
      </c>
      <c r="AC10" s="34">
        <v>100000</v>
      </c>
      <c r="AD10" s="34">
        <v>100000</v>
      </c>
      <c r="AE10" s="34">
        <v>100000</v>
      </c>
    </row>
    <row r="11" spans="2:31" ht="16.5" x14ac:dyDescent="0.2">
      <c r="B11" s="98"/>
      <c r="C11" s="81" t="s">
        <v>225</v>
      </c>
      <c r="D11" s="30">
        <v>206</v>
      </c>
      <c r="E11" s="31" t="s">
        <v>284</v>
      </c>
      <c r="F11" s="19"/>
      <c r="G11" s="20">
        <v>8</v>
      </c>
      <c r="H11" s="32">
        <v>0.65</v>
      </c>
      <c r="I11" s="22">
        <v>0.36</v>
      </c>
      <c r="J11" s="22">
        <v>0.65</v>
      </c>
      <c r="L11" s="20" t="s">
        <v>142</v>
      </c>
      <c r="M11" s="23" t="s">
        <v>158</v>
      </c>
      <c r="N11" s="24">
        <v>1</v>
      </c>
      <c r="O11" s="25">
        <v>6871</v>
      </c>
      <c r="P11" s="33">
        <v>0</v>
      </c>
      <c r="Q11" s="34">
        <v>0</v>
      </c>
      <c r="R11" s="35">
        <v>0</v>
      </c>
      <c r="S11" s="88">
        <f t="shared" si="1"/>
        <v>0</v>
      </c>
      <c r="T11" s="89">
        <f t="shared" si="0"/>
        <v>0</v>
      </c>
      <c r="U11" s="90">
        <f t="shared" si="0"/>
        <v>0</v>
      </c>
      <c r="Y11" s="29" t="s">
        <v>7</v>
      </c>
      <c r="Z11" s="3" t="s">
        <v>25</v>
      </c>
      <c r="AA11" s="3">
        <v>8</v>
      </c>
      <c r="AB11" s="23" t="s">
        <v>158</v>
      </c>
      <c r="AC11" s="34">
        <v>10000</v>
      </c>
      <c r="AD11" s="34">
        <v>10000</v>
      </c>
      <c r="AE11" s="34">
        <v>20000</v>
      </c>
    </row>
    <row r="12" spans="2:31" ht="16.5" x14ac:dyDescent="0.2">
      <c r="B12" s="98"/>
      <c r="C12" s="81" t="s">
        <v>226</v>
      </c>
      <c r="D12" s="30">
        <v>49</v>
      </c>
      <c r="E12" s="31" t="s">
        <v>284</v>
      </c>
      <c r="F12" s="19"/>
      <c r="G12" s="20">
        <v>9</v>
      </c>
      <c r="H12" s="32">
        <v>0.87</v>
      </c>
      <c r="I12" s="22">
        <v>0.42</v>
      </c>
      <c r="J12" s="22">
        <v>0.87</v>
      </c>
      <c r="L12" s="20" t="s">
        <v>143</v>
      </c>
      <c r="M12" s="23" t="s">
        <v>159</v>
      </c>
      <c r="N12" s="24">
        <v>1</v>
      </c>
      <c r="O12" s="25">
        <v>232.2</v>
      </c>
      <c r="P12" s="33">
        <v>0</v>
      </c>
      <c r="Q12" s="34">
        <v>0</v>
      </c>
      <c r="R12" s="35">
        <v>0</v>
      </c>
      <c r="S12" s="88">
        <f t="shared" si="1"/>
        <v>0</v>
      </c>
      <c r="T12" s="89">
        <f t="shared" si="0"/>
        <v>0</v>
      </c>
      <c r="U12" s="90">
        <f t="shared" si="0"/>
        <v>0</v>
      </c>
      <c r="Y12" s="29" t="s">
        <v>8</v>
      </c>
      <c r="Z12" s="3" t="s">
        <v>26</v>
      </c>
      <c r="AA12" s="3">
        <v>9</v>
      </c>
      <c r="AB12" s="23" t="s">
        <v>159</v>
      </c>
      <c r="AC12" s="34">
        <v>10000</v>
      </c>
      <c r="AD12" s="34">
        <v>5000</v>
      </c>
      <c r="AE12" s="34">
        <v>5000</v>
      </c>
    </row>
    <row r="13" spans="2:31" x14ac:dyDescent="0.2">
      <c r="B13" s="98"/>
      <c r="C13" s="81" t="s">
        <v>255</v>
      </c>
      <c r="D13" s="30">
        <v>0.1</v>
      </c>
      <c r="E13" s="31" t="s">
        <v>256</v>
      </c>
      <c r="F13" s="19"/>
      <c r="G13" s="20">
        <v>10</v>
      </c>
      <c r="H13" s="32">
        <v>0.85</v>
      </c>
      <c r="I13" s="22">
        <v>0.48</v>
      </c>
      <c r="J13" s="22">
        <v>0.85</v>
      </c>
      <c r="L13" s="20" t="s">
        <v>144</v>
      </c>
      <c r="M13" s="23" t="s">
        <v>160</v>
      </c>
      <c r="N13" s="24">
        <v>2</v>
      </c>
      <c r="O13" s="25">
        <v>19592</v>
      </c>
      <c r="P13" s="33">
        <v>15159</v>
      </c>
      <c r="Q13" s="34">
        <v>0</v>
      </c>
      <c r="R13" s="35">
        <v>0</v>
      </c>
      <c r="S13" s="88">
        <f t="shared" si="1"/>
        <v>2.2703377874428259E-2</v>
      </c>
      <c r="T13" s="89">
        <f t="shared" si="0"/>
        <v>0</v>
      </c>
      <c r="U13" s="90">
        <f t="shared" si="0"/>
        <v>0</v>
      </c>
      <c r="Y13" s="29" t="s">
        <v>9</v>
      </c>
      <c r="Z13" s="3" t="s">
        <v>27</v>
      </c>
      <c r="AA13" s="3">
        <v>10</v>
      </c>
      <c r="AB13" s="23" t="s">
        <v>160</v>
      </c>
      <c r="AC13" s="34">
        <v>20000</v>
      </c>
      <c r="AD13" s="34">
        <v>20000</v>
      </c>
      <c r="AE13" s="34">
        <v>20000</v>
      </c>
    </row>
    <row r="14" spans="2:31" x14ac:dyDescent="0.2">
      <c r="B14" s="99"/>
      <c r="C14" s="82" t="s">
        <v>257</v>
      </c>
      <c r="D14" s="30">
        <v>0.1</v>
      </c>
      <c r="E14" s="31" t="s">
        <v>168</v>
      </c>
      <c r="F14" s="19"/>
      <c r="G14" s="20">
        <v>11</v>
      </c>
      <c r="H14" s="32">
        <v>0.77</v>
      </c>
      <c r="I14" s="22">
        <v>0.39</v>
      </c>
      <c r="J14" s="22">
        <v>0.77</v>
      </c>
      <c r="L14" s="20" t="s">
        <v>145</v>
      </c>
      <c r="M14" s="23" t="s">
        <v>161</v>
      </c>
      <c r="N14" s="24">
        <v>4</v>
      </c>
      <c r="O14" s="25">
        <v>4013.63</v>
      </c>
      <c r="P14" s="33">
        <v>0</v>
      </c>
      <c r="Q14" s="34">
        <v>0</v>
      </c>
      <c r="R14" s="35">
        <v>0</v>
      </c>
      <c r="S14" s="88">
        <f t="shared" si="1"/>
        <v>0</v>
      </c>
      <c r="T14" s="89">
        <f t="shared" si="0"/>
        <v>0</v>
      </c>
      <c r="U14" s="90">
        <f t="shared" si="0"/>
        <v>0</v>
      </c>
      <c r="Y14" s="29" t="s">
        <v>10</v>
      </c>
      <c r="Z14" s="3" t="s">
        <v>28</v>
      </c>
      <c r="AA14" s="3">
        <v>11</v>
      </c>
      <c r="AB14" s="23" t="s">
        <v>161</v>
      </c>
      <c r="AC14" s="34">
        <v>100000</v>
      </c>
      <c r="AD14" s="34">
        <v>100000</v>
      </c>
      <c r="AE14" s="34">
        <v>10000</v>
      </c>
    </row>
    <row r="15" spans="2:31" x14ac:dyDescent="0.2">
      <c r="B15" s="97" t="s">
        <v>181</v>
      </c>
      <c r="C15" s="83" t="s">
        <v>171</v>
      </c>
      <c r="D15" s="17">
        <v>34.54</v>
      </c>
      <c r="E15" s="18" t="s">
        <v>168</v>
      </c>
      <c r="F15" s="19"/>
      <c r="G15" s="20">
        <v>12</v>
      </c>
      <c r="H15" s="32">
        <v>0.71</v>
      </c>
      <c r="I15" s="22">
        <v>0.31</v>
      </c>
      <c r="J15" s="22">
        <v>0.71</v>
      </c>
      <c r="L15" s="20" t="s">
        <v>146</v>
      </c>
      <c r="M15" s="23" t="s">
        <v>162</v>
      </c>
      <c r="N15" s="24">
        <v>1</v>
      </c>
      <c r="O15" s="25">
        <v>511</v>
      </c>
      <c r="P15" s="33">
        <v>0</v>
      </c>
      <c r="Q15" s="34">
        <v>0</v>
      </c>
      <c r="R15" s="35">
        <v>0</v>
      </c>
      <c r="S15" s="88">
        <f t="shared" si="1"/>
        <v>0</v>
      </c>
      <c r="T15" s="89">
        <f t="shared" si="0"/>
        <v>0</v>
      </c>
      <c r="U15" s="90">
        <f t="shared" si="0"/>
        <v>0</v>
      </c>
      <c r="Y15" s="29" t="s">
        <v>11</v>
      </c>
      <c r="Z15" s="3" t="s">
        <v>29</v>
      </c>
      <c r="AA15" s="3">
        <v>12</v>
      </c>
      <c r="AB15" s="23" t="s">
        <v>162</v>
      </c>
      <c r="AC15" s="34">
        <v>50000</v>
      </c>
      <c r="AD15" s="34">
        <v>50000</v>
      </c>
      <c r="AE15" s="34">
        <v>50000</v>
      </c>
    </row>
    <row r="16" spans="2:31" x14ac:dyDescent="0.2">
      <c r="B16" s="98"/>
      <c r="C16" s="75" t="s">
        <v>262</v>
      </c>
      <c r="D16" s="94">
        <v>0.70007536429999995</v>
      </c>
      <c r="E16" s="31" t="s">
        <v>172</v>
      </c>
      <c r="F16" s="19"/>
      <c r="G16" s="20">
        <v>13</v>
      </c>
      <c r="H16" s="32">
        <v>0.71</v>
      </c>
      <c r="I16" s="22">
        <v>0.19</v>
      </c>
      <c r="J16" s="22">
        <v>0.71</v>
      </c>
      <c r="L16" s="20" t="s">
        <v>147</v>
      </c>
      <c r="M16" s="23" t="s">
        <v>163</v>
      </c>
      <c r="N16" s="24">
        <v>1</v>
      </c>
      <c r="O16" s="25">
        <v>2294</v>
      </c>
      <c r="P16" s="33">
        <v>0</v>
      </c>
      <c r="Q16" s="34">
        <v>0</v>
      </c>
      <c r="R16" s="35">
        <v>0</v>
      </c>
      <c r="S16" s="88">
        <f t="shared" si="1"/>
        <v>0</v>
      </c>
      <c r="T16" s="89">
        <f t="shared" si="0"/>
        <v>0</v>
      </c>
      <c r="U16" s="90">
        <f t="shared" si="0"/>
        <v>0</v>
      </c>
      <c r="Y16" s="29" t="s">
        <v>12</v>
      </c>
      <c r="Z16" s="3" t="s">
        <v>30</v>
      </c>
      <c r="AA16" s="3">
        <v>13</v>
      </c>
      <c r="AB16" s="23" t="s">
        <v>163</v>
      </c>
      <c r="AC16" s="34">
        <v>100000</v>
      </c>
      <c r="AD16" s="34">
        <v>100000</v>
      </c>
      <c r="AE16" s="34">
        <v>100000</v>
      </c>
    </row>
    <row r="17" spans="2:31" ht="15" customHeight="1" x14ac:dyDescent="0.2">
      <c r="B17" s="98"/>
      <c r="C17" s="75" t="s">
        <v>175</v>
      </c>
      <c r="D17" s="94">
        <v>0.2565025152</v>
      </c>
      <c r="E17" s="31" t="s">
        <v>172</v>
      </c>
      <c r="F17" s="19"/>
      <c r="G17" s="20">
        <v>14</v>
      </c>
      <c r="H17" s="32">
        <v>0.56000000000000005</v>
      </c>
      <c r="I17" s="22">
        <v>0.08</v>
      </c>
      <c r="J17" s="22">
        <v>0.56000000000000005</v>
      </c>
      <c r="L17" s="20" t="s">
        <v>148</v>
      </c>
      <c r="M17" s="23" t="s">
        <v>164</v>
      </c>
      <c r="N17" s="24">
        <v>1</v>
      </c>
      <c r="O17" s="25">
        <v>2090</v>
      </c>
      <c r="P17" s="33">
        <v>2070</v>
      </c>
      <c r="Q17" s="34">
        <v>0</v>
      </c>
      <c r="R17" s="35">
        <v>0</v>
      </c>
      <c r="S17" s="88">
        <f t="shared" si="1"/>
        <v>3.1002039844360775E-3</v>
      </c>
      <c r="T17" s="89">
        <f t="shared" si="0"/>
        <v>0</v>
      </c>
      <c r="U17" s="90">
        <f t="shared" si="0"/>
        <v>0</v>
      </c>
      <c r="Y17" s="29" t="s">
        <v>13</v>
      </c>
      <c r="Z17" s="3" t="s">
        <v>31</v>
      </c>
      <c r="AA17" s="3">
        <v>14</v>
      </c>
      <c r="AB17" s="23" t="s">
        <v>164</v>
      </c>
      <c r="AC17" s="34">
        <v>2000</v>
      </c>
      <c r="AD17" s="34">
        <v>2000</v>
      </c>
      <c r="AE17" s="34">
        <v>2000</v>
      </c>
    </row>
    <row r="18" spans="2:31" ht="15" customHeight="1" x14ac:dyDescent="0.2">
      <c r="B18" s="98"/>
      <c r="C18" s="75" t="s">
        <v>15</v>
      </c>
      <c r="D18" s="30">
        <v>2.17</v>
      </c>
      <c r="E18" s="31" t="s">
        <v>172</v>
      </c>
      <c r="G18" s="20">
        <v>15</v>
      </c>
      <c r="H18" s="32">
        <v>0.36</v>
      </c>
      <c r="I18" s="22">
        <v>0.13</v>
      </c>
      <c r="J18" s="22">
        <v>0.36</v>
      </c>
      <c r="L18" s="20" t="s">
        <v>149</v>
      </c>
      <c r="M18" s="23" t="s">
        <v>165</v>
      </c>
      <c r="N18" s="24">
        <v>1</v>
      </c>
      <c r="O18" s="25">
        <v>4181</v>
      </c>
      <c r="P18" s="33">
        <v>0</v>
      </c>
      <c r="Q18" s="34">
        <v>0</v>
      </c>
      <c r="R18" s="35">
        <v>0</v>
      </c>
      <c r="S18" s="88">
        <f t="shared" si="1"/>
        <v>0</v>
      </c>
      <c r="T18" s="89">
        <f t="shared" si="0"/>
        <v>0</v>
      </c>
      <c r="U18" s="90">
        <f t="shared" si="0"/>
        <v>0</v>
      </c>
      <c r="Y18" s="29">
        <v>7</v>
      </c>
      <c r="Z18" s="3" t="s">
        <v>32</v>
      </c>
      <c r="AA18" s="3">
        <v>15</v>
      </c>
      <c r="AB18" s="23" t="s">
        <v>165</v>
      </c>
      <c r="AC18" s="34">
        <v>100000</v>
      </c>
      <c r="AD18" s="34">
        <v>100000</v>
      </c>
      <c r="AE18" s="34">
        <v>100000</v>
      </c>
    </row>
    <row r="19" spans="2:31" ht="15" customHeight="1" x14ac:dyDescent="0.2">
      <c r="B19" s="98"/>
      <c r="C19" s="75" t="s">
        <v>234</v>
      </c>
      <c r="D19" s="94">
        <v>1136.500325</v>
      </c>
      <c r="E19" s="31" t="s">
        <v>168</v>
      </c>
      <c r="F19" s="19"/>
      <c r="G19" s="20">
        <v>16</v>
      </c>
      <c r="H19" s="32">
        <v>0.31</v>
      </c>
      <c r="I19" s="22">
        <v>0.11</v>
      </c>
      <c r="J19" s="22">
        <v>0.31</v>
      </c>
      <c r="L19" s="20" t="s">
        <v>150</v>
      </c>
      <c r="M19" s="23" t="s">
        <v>166</v>
      </c>
      <c r="N19" s="24">
        <v>1</v>
      </c>
      <c r="O19" s="25">
        <v>4835.13</v>
      </c>
      <c r="P19" s="37">
        <v>0</v>
      </c>
      <c r="Q19" s="34">
        <v>0</v>
      </c>
      <c r="R19" s="35">
        <v>0</v>
      </c>
      <c r="S19" s="91">
        <f t="shared" si="1"/>
        <v>0</v>
      </c>
      <c r="T19" s="92">
        <f t="shared" si="0"/>
        <v>0</v>
      </c>
      <c r="U19" s="93">
        <f t="shared" si="0"/>
        <v>0</v>
      </c>
      <c r="Y19" s="29">
        <v>8</v>
      </c>
      <c r="Z19" s="3" t="s">
        <v>33</v>
      </c>
      <c r="AA19" s="3">
        <v>16</v>
      </c>
      <c r="AB19" s="23" t="s">
        <v>166</v>
      </c>
      <c r="AC19" s="34">
        <v>5000</v>
      </c>
      <c r="AD19" s="34">
        <v>5000</v>
      </c>
      <c r="AE19" s="34">
        <v>5000</v>
      </c>
    </row>
    <row r="20" spans="2:31" ht="15" x14ac:dyDescent="0.25">
      <c r="B20" s="98"/>
      <c r="C20" s="75" t="s">
        <v>176</v>
      </c>
      <c r="D20" s="30">
        <f>D19/4</f>
        <v>284.12508124999999</v>
      </c>
      <c r="E20" s="31" t="s">
        <v>168</v>
      </c>
      <c r="F20" s="19"/>
      <c r="G20" s="20">
        <v>17</v>
      </c>
      <c r="H20" s="32">
        <v>0.3</v>
      </c>
      <c r="I20" s="22">
        <v>0.16</v>
      </c>
      <c r="J20" s="22">
        <v>0.3</v>
      </c>
      <c r="L20" s="38"/>
      <c r="M20" s="39" t="s">
        <v>224</v>
      </c>
      <c r="N20" s="40" t="s">
        <v>0</v>
      </c>
      <c r="O20" s="41" t="str">
        <f>VLOOKUP(N20,Y4:Z19,2,0)</f>
        <v>Miami</v>
      </c>
      <c r="P20" s="42"/>
      <c r="Q20" s="43" t="s">
        <v>201</v>
      </c>
      <c r="R20" s="44">
        <f>SUM(P4:R19)</f>
        <v>667698</v>
      </c>
      <c r="S20" s="45">
        <f>SUM(S4:S19)</f>
        <v>1</v>
      </c>
      <c r="T20" s="46">
        <f>SUM(T4:T19)</f>
        <v>0</v>
      </c>
      <c r="U20" s="47">
        <f>SUM(U4:U19)</f>
        <v>0</v>
      </c>
      <c r="AC20" s="34">
        <f>SUM(AC4:AC19)</f>
        <v>8247000</v>
      </c>
      <c r="AD20" s="34">
        <f>SUM(AD4:AD19)</f>
        <v>2757000</v>
      </c>
      <c r="AE20" s="34">
        <f>SUM(AE4:AE19)</f>
        <v>1527000</v>
      </c>
    </row>
    <row r="21" spans="2:31" ht="15" x14ac:dyDescent="0.25">
      <c r="B21" s="98"/>
      <c r="C21" s="75" t="s">
        <v>133</v>
      </c>
      <c r="D21" s="30">
        <v>0.16</v>
      </c>
      <c r="E21" s="31" t="s">
        <v>172</v>
      </c>
      <c r="F21" s="19"/>
      <c r="G21" s="20">
        <v>18</v>
      </c>
      <c r="H21" s="32">
        <v>0.42</v>
      </c>
      <c r="I21" s="22">
        <v>0.28000000000000003</v>
      </c>
      <c r="J21" s="22">
        <v>0.42</v>
      </c>
      <c r="L21" s="24"/>
      <c r="M21" s="48"/>
      <c r="N21" s="49"/>
      <c r="O21" s="50"/>
      <c r="P21" s="23"/>
      <c r="Q21" s="51" t="s">
        <v>233</v>
      </c>
      <c r="R21" s="52">
        <f>D19^2*D17*D15/3.05</f>
        <v>3751917.2428085865</v>
      </c>
      <c r="S21" s="53"/>
      <c r="T21" s="53"/>
      <c r="U21" s="53"/>
      <c r="W21" s="113"/>
      <c r="X21" s="113"/>
      <c r="AB21" s="3" t="s">
        <v>246</v>
      </c>
      <c r="AC21" s="3">
        <v>50</v>
      </c>
      <c r="AD21" s="3">
        <v>20</v>
      </c>
      <c r="AE21" s="34">
        <v>10</v>
      </c>
    </row>
    <row r="22" spans="2:31" x14ac:dyDescent="0.2">
      <c r="B22" s="98"/>
      <c r="C22" s="75" t="s">
        <v>192</v>
      </c>
      <c r="D22" s="30">
        <v>1.25</v>
      </c>
      <c r="E22" s="31" t="s">
        <v>168</v>
      </c>
      <c r="F22" s="19"/>
      <c r="G22" s="20">
        <v>19</v>
      </c>
      <c r="H22" s="32">
        <v>0.59</v>
      </c>
      <c r="I22" s="22">
        <v>0.51</v>
      </c>
      <c r="J22" s="22">
        <v>0.59</v>
      </c>
      <c r="X22" s="19"/>
      <c r="Y22" s="3" t="s">
        <v>239</v>
      </c>
      <c r="AB22" s="3" t="s">
        <v>245</v>
      </c>
      <c r="AC22" s="54">
        <v>0.5</v>
      </c>
      <c r="AD22" s="54">
        <v>0.5</v>
      </c>
      <c r="AE22" s="54">
        <v>0.5</v>
      </c>
    </row>
    <row r="23" spans="2:31" ht="17.25" x14ac:dyDescent="0.25">
      <c r="B23" s="98"/>
      <c r="C23" s="75" t="s">
        <v>190</v>
      </c>
      <c r="D23" s="30">
        <v>20</v>
      </c>
      <c r="E23" s="31" t="s">
        <v>284</v>
      </c>
      <c r="F23" s="19"/>
      <c r="G23" s="20">
        <v>20</v>
      </c>
      <c r="H23" s="32">
        <v>0.67</v>
      </c>
      <c r="I23" s="22">
        <v>0.66</v>
      </c>
      <c r="J23" s="22">
        <v>0.67</v>
      </c>
      <c r="L23" s="105" t="s">
        <v>188</v>
      </c>
      <c r="M23" s="106"/>
      <c r="N23" s="55" t="s">
        <v>173</v>
      </c>
      <c r="O23" s="56" t="s">
        <v>167</v>
      </c>
      <c r="P23" s="118" t="s">
        <v>187</v>
      </c>
      <c r="Q23" s="118"/>
      <c r="R23" s="118"/>
      <c r="S23" s="118"/>
      <c r="T23" s="118"/>
      <c r="U23" s="119"/>
      <c r="X23" s="19"/>
      <c r="Y23" s="3" t="s">
        <v>238</v>
      </c>
      <c r="AB23" s="3" t="s">
        <v>247</v>
      </c>
      <c r="AC23" s="57">
        <v>4</v>
      </c>
      <c r="AD23" s="58">
        <v>1.6</v>
      </c>
      <c r="AE23" s="58">
        <v>0.8</v>
      </c>
    </row>
    <row r="24" spans="2:31" ht="17.25" x14ac:dyDescent="0.25">
      <c r="B24" s="98"/>
      <c r="C24" s="75" t="s">
        <v>191</v>
      </c>
      <c r="D24" s="30">
        <f>D23*0.1011</f>
        <v>2.0219999999999998</v>
      </c>
      <c r="E24" s="31" t="s">
        <v>284</v>
      </c>
      <c r="F24" s="59"/>
      <c r="G24" s="20">
        <v>21</v>
      </c>
      <c r="H24" s="32">
        <v>0.79</v>
      </c>
      <c r="I24" s="22">
        <v>0.83</v>
      </c>
      <c r="J24" s="22">
        <v>0.79</v>
      </c>
      <c r="K24" s="60"/>
      <c r="L24" s="100" t="s">
        <v>177</v>
      </c>
      <c r="M24" s="101"/>
      <c r="N24" s="61">
        <v>12</v>
      </c>
      <c r="O24" s="62" t="s">
        <v>172</v>
      </c>
      <c r="P24" s="114" t="s">
        <v>260</v>
      </c>
      <c r="Q24" s="63" t="s">
        <v>184</v>
      </c>
      <c r="R24" s="107" t="s">
        <v>273</v>
      </c>
      <c r="S24" s="107"/>
      <c r="T24" s="107"/>
      <c r="U24" s="108"/>
      <c r="AB24" s="3" t="s">
        <v>248</v>
      </c>
      <c r="AC24" s="3">
        <v>0.5</v>
      </c>
      <c r="AD24" s="3">
        <v>0.5</v>
      </c>
      <c r="AE24" s="34">
        <v>1</v>
      </c>
    </row>
    <row r="25" spans="2:31" ht="15" customHeight="1" x14ac:dyDescent="0.25">
      <c r="B25" s="97" t="s">
        <v>205</v>
      </c>
      <c r="C25" s="83" t="s">
        <v>231</v>
      </c>
      <c r="D25" s="17">
        <v>0.04</v>
      </c>
      <c r="E25" s="18" t="s">
        <v>172</v>
      </c>
      <c r="F25" s="59"/>
      <c r="G25" s="20">
        <v>22</v>
      </c>
      <c r="H25" s="32">
        <v>0.86</v>
      </c>
      <c r="I25" s="22">
        <v>1</v>
      </c>
      <c r="J25" s="22">
        <v>0.86</v>
      </c>
      <c r="K25" s="60"/>
      <c r="L25" s="95" t="s">
        <v>178</v>
      </c>
      <c r="M25" s="96"/>
      <c r="N25" s="64">
        <v>1</v>
      </c>
      <c r="O25" s="65" t="s">
        <v>172</v>
      </c>
      <c r="P25" s="115"/>
      <c r="Q25" s="66" t="s">
        <v>186</v>
      </c>
      <c r="R25" s="109" t="s">
        <v>279</v>
      </c>
      <c r="S25" s="109"/>
      <c r="T25" s="109"/>
      <c r="U25" s="110"/>
      <c r="AB25" s="3" t="s">
        <v>249</v>
      </c>
      <c r="AC25" s="3">
        <v>20</v>
      </c>
      <c r="AD25" s="3">
        <v>20</v>
      </c>
      <c r="AE25" s="34">
        <v>10</v>
      </c>
    </row>
    <row r="26" spans="2:31" ht="15" customHeight="1" x14ac:dyDescent="0.25">
      <c r="B26" s="98"/>
      <c r="C26" s="75" t="s">
        <v>232</v>
      </c>
      <c r="D26" s="30">
        <v>0.05</v>
      </c>
      <c r="E26" s="31" t="s">
        <v>172</v>
      </c>
      <c r="F26" s="19"/>
      <c r="G26" s="20">
        <v>23</v>
      </c>
      <c r="H26" s="32">
        <v>0.84</v>
      </c>
      <c r="I26" s="22">
        <v>0.93</v>
      </c>
      <c r="J26" s="22">
        <v>0.84</v>
      </c>
      <c r="L26" s="95" t="s">
        <v>179</v>
      </c>
      <c r="M26" s="96"/>
      <c r="N26" s="64">
        <v>7</v>
      </c>
      <c r="O26" s="65" t="s">
        <v>180</v>
      </c>
      <c r="P26" s="114" t="s">
        <v>261</v>
      </c>
      <c r="Q26" s="63" t="s">
        <v>184</v>
      </c>
      <c r="R26" s="107" t="s">
        <v>274</v>
      </c>
      <c r="S26" s="107"/>
      <c r="T26" s="107"/>
      <c r="U26" s="108"/>
      <c r="W26" s="113"/>
      <c r="X26" s="113"/>
    </row>
    <row r="27" spans="2:31" ht="15" x14ac:dyDescent="0.25">
      <c r="B27" s="98"/>
      <c r="C27" s="75" t="s">
        <v>182</v>
      </c>
      <c r="D27" s="30">
        <v>1</v>
      </c>
      <c r="E27" s="31" t="s">
        <v>172</v>
      </c>
      <c r="G27" s="67">
        <v>24</v>
      </c>
      <c r="H27" s="68">
        <v>0.65</v>
      </c>
      <c r="I27" s="69">
        <v>0.83</v>
      </c>
      <c r="J27" s="69">
        <v>0.65</v>
      </c>
      <c r="L27" s="95" t="s">
        <v>221</v>
      </c>
      <c r="M27" s="96"/>
      <c r="N27" s="64">
        <v>300</v>
      </c>
      <c r="O27" s="65" t="s">
        <v>174</v>
      </c>
      <c r="P27" s="115"/>
      <c r="Q27" s="66" t="s">
        <v>186</v>
      </c>
      <c r="R27" s="109" t="s">
        <v>278</v>
      </c>
      <c r="S27" s="109"/>
      <c r="T27" s="109"/>
      <c r="U27" s="110"/>
      <c r="X27" s="19"/>
    </row>
    <row r="28" spans="2:31" ht="15" x14ac:dyDescent="0.25">
      <c r="B28" s="98"/>
      <c r="C28" s="75" t="s">
        <v>183</v>
      </c>
      <c r="D28" s="30">
        <v>12</v>
      </c>
      <c r="E28" s="31" t="s">
        <v>172</v>
      </c>
      <c r="L28" s="95" t="s">
        <v>222</v>
      </c>
      <c r="M28" s="96"/>
      <c r="N28" s="64">
        <v>3600</v>
      </c>
      <c r="O28" s="70" t="s">
        <v>174</v>
      </c>
      <c r="P28" s="116" t="s">
        <v>241</v>
      </c>
      <c r="Q28" s="11" t="s">
        <v>184</v>
      </c>
      <c r="R28" s="111" t="s">
        <v>275</v>
      </c>
      <c r="S28" s="111"/>
      <c r="T28" s="111"/>
      <c r="U28" s="112"/>
      <c r="X28" s="19"/>
    </row>
    <row r="29" spans="2:31" ht="15" x14ac:dyDescent="0.25">
      <c r="B29" s="98"/>
      <c r="C29" s="75" t="s">
        <v>202</v>
      </c>
      <c r="D29" s="30">
        <v>0.25</v>
      </c>
      <c r="E29" s="31" t="s">
        <v>172</v>
      </c>
      <c r="L29" s="95" t="s">
        <v>271</v>
      </c>
      <c r="M29" s="96"/>
      <c r="N29" s="64">
        <v>0</v>
      </c>
      <c r="O29" s="65" t="s">
        <v>185</v>
      </c>
      <c r="P29" s="115"/>
      <c r="Q29" s="66" t="s">
        <v>186</v>
      </c>
      <c r="R29" s="109" t="s">
        <v>223</v>
      </c>
      <c r="S29" s="109"/>
      <c r="T29" s="109"/>
      <c r="U29" s="110"/>
    </row>
    <row r="30" spans="2:31" ht="15" customHeight="1" x14ac:dyDescent="0.25">
      <c r="B30" s="98"/>
      <c r="C30" s="75" t="s">
        <v>204</v>
      </c>
      <c r="D30" s="30">
        <v>0.56000000000000005</v>
      </c>
      <c r="E30" s="31" t="s">
        <v>172</v>
      </c>
      <c r="L30" s="95" t="s">
        <v>219</v>
      </c>
      <c r="M30" s="96"/>
      <c r="N30" s="64">
        <v>100</v>
      </c>
      <c r="O30" s="71" t="s">
        <v>220</v>
      </c>
      <c r="P30" s="114" t="s">
        <v>277</v>
      </c>
      <c r="Q30" s="63" t="s">
        <v>186</v>
      </c>
      <c r="R30" s="107" t="s">
        <v>280</v>
      </c>
      <c r="S30" s="107"/>
      <c r="T30" s="107"/>
      <c r="U30" s="108"/>
    </row>
    <row r="31" spans="2:31" ht="15" x14ac:dyDescent="0.25">
      <c r="B31" s="98"/>
      <c r="C31" s="75" t="s">
        <v>203</v>
      </c>
      <c r="D31" s="30">
        <v>0.72</v>
      </c>
      <c r="E31" s="36" t="s">
        <v>172</v>
      </c>
      <c r="L31" s="95" t="s">
        <v>253</v>
      </c>
      <c r="M31" s="96"/>
      <c r="N31" s="64">
        <v>0.3</v>
      </c>
      <c r="O31" s="65" t="s">
        <v>172</v>
      </c>
      <c r="P31" s="120"/>
      <c r="Q31" s="11"/>
      <c r="R31" s="111"/>
      <c r="S31" s="111"/>
      <c r="T31" s="111"/>
      <c r="U31" s="112"/>
    </row>
    <row r="32" spans="2:31" ht="15" x14ac:dyDescent="0.25">
      <c r="B32" s="99"/>
      <c r="C32" s="84" t="s">
        <v>218</v>
      </c>
      <c r="D32" s="72">
        <v>0.06</v>
      </c>
      <c r="E32" s="73" t="s">
        <v>172</v>
      </c>
      <c r="L32" s="95" t="s">
        <v>254</v>
      </c>
      <c r="M32" s="96"/>
      <c r="N32" s="64">
        <v>0.2</v>
      </c>
      <c r="O32" s="65" t="s">
        <v>172</v>
      </c>
      <c r="P32" s="137" t="s">
        <v>235</v>
      </c>
      <c r="Q32" s="138"/>
      <c r="R32" s="74" t="s">
        <v>238</v>
      </c>
      <c r="S32" s="128" t="s">
        <v>240</v>
      </c>
      <c r="T32" s="129"/>
      <c r="U32" s="130"/>
    </row>
    <row r="33" spans="2:21" ht="15" x14ac:dyDescent="0.25">
      <c r="C33" s="75"/>
      <c r="L33" s="95" t="s">
        <v>251</v>
      </c>
      <c r="M33" s="96"/>
      <c r="N33" s="64">
        <v>0.5</v>
      </c>
      <c r="O33" s="65" t="s">
        <v>172</v>
      </c>
      <c r="P33" s="135" t="s">
        <v>236</v>
      </c>
      <c r="Q33" s="136"/>
      <c r="R33" s="76" t="s">
        <v>238</v>
      </c>
      <c r="S33" s="125" t="s">
        <v>240</v>
      </c>
      <c r="T33" s="126"/>
      <c r="U33" s="127"/>
    </row>
    <row r="34" spans="2:21" ht="15" x14ac:dyDescent="0.25">
      <c r="L34" s="131" t="s">
        <v>252</v>
      </c>
      <c r="M34" s="132"/>
      <c r="N34" s="77">
        <v>0.7</v>
      </c>
      <c r="O34" s="78" t="s">
        <v>172</v>
      </c>
      <c r="P34" s="133" t="s">
        <v>237</v>
      </c>
      <c r="Q34" s="134"/>
      <c r="R34" s="79" t="s">
        <v>239</v>
      </c>
      <c r="S34" s="122" t="s">
        <v>240</v>
      </c>
      <c r="T34" s="123"/>
      <c r="U34" s="124"/>
    </row>
    <row r="35" spans="2:21" ht="15" x14ac:dyDescent="0.25">
      <c r="B35" s="121" t="s">
        <v>276</v>
      </c>
      <c r="C35" s="121"/>
      <c r="D35" s="121"/>
      <c r="E35" s="121"/>
    </row>
    <row r="36" spans="2:21" x14ac:dyDescent="0.2">
      <c r="B36" s="3" t="s">
        <v>259</v>
      </c>
    </row>
    <row r="39" spans="2:21" x14ac:dyDescent="0.2">
      <c r="B39" s="3" t="s">
        <v>263</v>
      </c>
      <c r="C39" s="3" t="s">
        <v>265</v>
      </c>
    </row>
    <row r="40" spans="2:21" x14ac:dyDescent="0.2">
      <c r="C40" s="3" t="s">
        <v>266</v>
      </c>
    </row>
    <row r="41" spans="2:21" x14ac:dyDescent="0.2">
      <c r="C41" s="3" t="s">
        <v>267</v>
      </c>
    </row>
    <row r="42" spans="2:21" x14ac:dyDescent="0.2">
      <c r="C42" s="3" t="s">
        <v>268</v>
      </c>
    </row>
    <row r="43" spans="2:21" x14ac:dyDescent="0.2">
      <c r="C43" s="3" t="s">
        <v>269</v>
      </c>
    </row>
    <row r="44" spans="2:21" x14ac:dyDescent="0.2">
      <c r="C44" s="3" t="s">
        <v>264</v>
      </c>
    </row>
    <row r="45" spans="2:21" x14ac:dyDescent="0.2">
      <c r="C45" s="3" t="s">
        <v>270</v>
      </c>
    </row>
    <row r="46" spans="2:21" x14ac:dyDescent="0.2">
      <c r="C46" s="3" t="s">
        <v>272</v>
      </c>
    </row>
  </sheetData>
  <mergeCells count="45">
    <mergeCell ref="B35:E35"/>
    <mergeCell ref="S34:U34"/>
    <mergeCell ref="S33:U33"/>
    <mergeCell ref="S32:U32"/>
    <mergeCell ref="L34:M34"/>
    <mergeCell ref="L33:M33"/>
    <mergeCell ref="L32:M32"/>
    <mergeCell ref="P34:Q34"/>
    <mergeCell ref="P33:Q33"/>
    <mergeCell ref="P32:Q32"/>
    <mergeCell ref="R30:U30"/>
    <mergeCell ref="R31:U31"/>
    <mergeCell ref="P30:P31"/>
    <mergeCell ref="L30:M30"/>
    <mergeCell ref="L31:M31"/>
    <mergeCell ref="P2:R2"/>
    <mergeCell ref="S2:U2"/>
    <mergeCell ref="Y3:Z3"/>
    <mergeCell ref="W21:X21"/>
    <mergeCell ref="P24:P25"/>
    <mergeCell ref="P23:U23"/>
    <mergeCell ref="R24:U24"/>
    <mergeCell ref="R25:U25"/>
    <mergeCell ref="Y2:Z2"/>
    <mergeCell ref="R26:U26"/>
    <mergeCell ref="R27:U27"/>
    <mergeCell ref="R28:U28"/>
    <mergeCell ref="W26:X26"/>
    <mergeCell ref="P26:P27"/>
    <mergeCell ref="P28:P29"/>
    <mergeCell ref="R29:U29"/>
    <mergeCell ref="L24:M24"/>
    <mergeCell ref="B15:B24"/>
    <mergeCell ref="B2:E2"/>
    <mergeCell ref="G2:J2"/>
    <mergeCell ref="L2:O2"/>
    <mergeCell ref="B4:B14"/>
    <mergeCell ref="B3:C3"/>
    <mergeCell ref="L23:M23"/>
    <mergeCell ref="L28:M28"/>
    <mergeCell ref="L29:M29"/>
    <mergeCell ref="L27:M27"/>
    <mergeCell ref="L26:M26"/>
    <mergeCell ref="B25:B32"/>
    <mergeCell ref="L25:M25"/>
  </mergeCells>
  <dataValidations count="7">
    <dataValidation type="decimal" allowBlank="1" showInputMessage="1" showErrorMessage="1" sqref="AC4:AE19 P4:R19">
      <formula1>0</formula1>
      <formula2>100000000</formula2>
    </dataValidation>
    <dataValidation type="whole" allowBlank="1" showInputMessage="1" showErrorMessage="1" sqref="N24">
      <formula1>1</formula1>
      <formula2>12</formula2>
    </dataValidation>
    <dataValidation type="whole" allowBlank="1" showInputMessage="1" showErrorMessage="1" sqref="N25">
      <formula1>1</formula1>
      <formula2>31</formula2>
    </dataValidation>
    <dataValidation type="whole" allowBlank="1" showInputMessage="1" showErrorMessage="1" sqref="N29">
      <formula1>0</formula1>
      <formula2>1</formula2>
    </dataValidation>
    <dataValidation type="list" allowBlank="1" showInputMessage="1" showErrorMessage="1" sqref="R32:R34">
      <formula1>$Y$22:$Y$23</formula1>
    </dataValidation>
    <dataValidation type="decimal" allowBlank="1" showInputMessage="1" showErrorMessage="1" sqref="N31:N34">
      <formula1>0</formula1>
      <formula2>1</formula2>
    </dataValidation>
    <dataValidation type="whole" allowBlank="1" showInputMessage="1" showErrorMessage="1" sqref="N26">
      <formula1>1</formula1>
      <formula2>365</formula2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6</xdr:col>
                <xdr:colOff>9525</xdr:colOff>
                <xdr:row>27</xdr:row>
                <xdr:rowOff>123825</xdr:rowOff>
              </from>
              <to>
                <xdr:col>10</xdr:col>
                <xdr:colOff>28575</xdr:colOff>
                <xdr:row>34</xdr:row>
                <xdr:rowOff>9525</xdr:rowOff>
              </to>
            </anchor>
          </controlPr>
        </control>
      </mc:Choice>
      <mc:Fallback>
        <control shapeId="1025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DOE_Reference!$A$52:$A$67</xm:f>
          </x14:formula1>
          <xm:sqref>N20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67"/>
  <sheetViews>
    <sheetView zoomScale="90" zoomScaleNormal="90" workbookViewId="0">
      <selection activeCell="B13" sqref="B13"/>
    </sheetView>
  </sheetViews>
  <sheetFormatPr defaultRowHeight="15" x14ac:dyDescent="0.25"/>
  <cols>
    <col min="1" max="1" width="12.140625" customWidth="1"/>
    <col min="2" max="2" width="50.85546875" customWidth="1"/>
    <col min="4" max="4" width="12.140625" customWidth="1"/>
    <col min="5" max="5" width="18.85546875" customWidth="1"/>
  </cols>
  <sheetData>
    <row r="1" spans="1:6" x14ac:dyDescent="0.25">
      <c r="A1" s="1" t="s">
        <v>16</v>
      </c>
      <c r="B1" s="1" t="s">
        <v>132</v>
      </c>
      <c r="F1" t="s">
        <v>216</v>
      </c>
    </row>
    <row r="2" spans="1:6" x14ac:dyDescent="0.25">
      <c r="A2" t="s">
        <v>52</v>
      </c>
      <c r="B2" t="s">
        <v>75</v>
      </c>
      <c r="D2" s="1" t="s">
        <v>207</v>
      </c>
      <c r="E2">
        <v>1</v>
      </c>
      <c r="F2" t="s">
        <v>208</v>
      </c>
    </row>
    <row r="3" spans="1:6" x14ac:dyDescent="0.25">
      <c r="A3" t="s">
        <v>117</v>
      </c>
      <c r="B3" t="s">
        <v>76</v>
      </c>
      <c r="E3">
        <v>2</v>
      </c>
      <c r="F3" t="s">
        <v>212</v>
      </c>
    </row>
    <row r="4" spans="1:6" x14ac:dyDescent="0.25">
      <c r="A4" t="s">
        <v>118</v>
      </c>
      <c r="B4" t="s">
        <v>77</v>
      </c>
      <c r="E4">
        <v>3</v>
      </c>
      <c r="F4" t="s">
        <v>213</v>
      </c>
    </row>
    <row r="5" spans="1:6" x14ac:dyDescent="0.25">
      <c r="A5" t="s">
        <v>119</v>
      </c>
      <c r="B5" t="s">
        <v>78</v>
      </c>
      <c r="E5">
        <v>4</v>
      </c>
      <c r="F5" t="s">
        <v>214</v>
      </c>
    </row>
    <row r="6" spans="1:6" x14ac:dyDescent="0.25">
      <c r="A6" t="s">
        <v>120</v>
      </c>
      <c r="B6" t="s">
        <v>79</v>
      </c>
    </row>
    <row r="7" spans="1:6" x14ac:dyDescent="0.25">
      <c r="A7" t="s">
        <v>121</v>
      </c>
      <c r="B7" t="s">
        <v>80</v>
      </c>
      <c r="D7" s="1" t="s">
        <v>210</v>
      </c>
      <c r="E7">
        <v>1</v>
      </c>
      <c r="F7" t="s">
        <v>209</v>
      </c>
    </row>
    <row r="8" spans="1:6" x14ac:dyDescent="0.25">
      <c r="A8" t="s">
        <v>122</v>
      </c>
      <c r="B8" t="s">
        <v>81</v>
      </c>
      <c r="E8">
        <v>2</v>
      </c>
      <c r="F8" t="s">
        <v>211</v>
      </c>
    </row>
    <row r="9" spans="1:6" x14ac:dyDescent="0.25">
      <c r="A9" t="s">
        <v>123</v>
      </c>
      <c r="B9" t="s">
        <v>82</v>
      </c>
      <c r="E9">
        <v>3</v>
      </c>
      <c r="F9" t="s">
        <v>215</v>
      </c>
    </row>
    <row r="10" spans="1:6" x14ac:dyDescent="0.25">
      <c r="A10" t="s">
        <v>124</v>
      </c>
      <c r="B10" t="s">
        <v>83</v>
      </c>
    </row>
    <row r="11" spans="1:6" x14ac:dyDescent="0.25">
      <c r="A11" t="s">
        <v>125</v>
      </c>
      <c r="B11" t="s">
        <v>84</v>
      </c>
    </row>
    <row r="12" spans="1:6" x14ac:dyDescent="0.25">
      <c r="A12" t="s">
        <v>126</v>
      </c>
      <c r="B12" t="s">
        <v>85</v>
      </c>
    </row>
    <row r="13" spans="1:6" x14ac:dyDescent="0.25">
      <c r="A13" t="s">
        <v>127</v>
      </c>
      <c r="B13" t="s">
        <v>86</v>
      </c>
      <c r="E13" t="s">
        <v>168</v>
      </c>
    </row>
    <row r="14" spans="1:6" x14ac:dyDescent="0.25">
      <c r="A14" t="s">
        <v>128</v>
      </c>
      <c r="B14" t="s">
        <v>87</v>
      </c>
    </row>
    <row r="15" spans="1:6" x14ac:dyDescent="0.25">
      <c r="A15" t="s">
        <v>129</v>
      </c>
      <c r="B15" t="s">
        <v>88</v>
      </c>
    </row>
    <row r="16" spans="1:6" x14ac:dyDescent="0.25">
      <c r="A16" t="s">
        <v>130</v>
      </c>
      <c r="B16" t="s">
        <v>89</v>
      </c>
    </row>
    <row r="17" spans="1:2" x14ac:dyDescent="0.25">
      <c r="A17" t="s">
        <v>131</v>
      </c>
      <c r="B17" t="s">
        <v>90</v>
      </c>
    </row>
    <row r="18" spans="1:2" x14ac:dyDescent="0.25">
      <c r="A18" t="s">
        <v>101</v>
      </c>
      <c r="B18" t="s">
        <v>59</v>
      </c>
    </row>
    <row r="19" spans="1:2" x14ac:dyDescent="0.25">
      <c r="A19" t="s">
        <v>102</v>
      </c>
      <c r="B19" t="s">
        <v>60</v>
      </c>
    </row>
    <row r="20" spans="1:2" x14ac:dyDescent="0.25">
      <c r="A20" t="s">
        <v>103</v>
      </c>
      <c r="B20" t="s">
        <v>61</v>
      </c>
    </row>
    <row r="21" spans="1:2" x14ac:dyDescent="0.25">
      <c r="A21" t="s">
        <v>104</v>
      </c>
      <c r="B21" t="s">
        <v>62</v>
      </c>
    </row>
    <row r="22" spans="1:2" x14ac:dyDescent="0.25">
      <c r="A22" t="s">
        <v>105</v>
      </c>
      <c r="B22" t="s">
        <v>63</v>
      </c>
    </row>
    <row r="23" spans="1:2" x14ac:dyDescent="0.25">
      <c r="A23" t="s">
        <v>106</v>
      </c>
      <c r="B23" t="s">
        <v>64</v>
      </c>
    </row>
    <row r="24" spans="1:2" x14ac:dyDescent="0.25">
      <c r="A24" t="s">
        <v>107</v>
      </c>
      <c r="B24" t="s">
        <v>65</v>
      </c>
    </row>
    <row r="25" spans="1:2" x14ac:dyDescent="0.25">
      <c r="A25" t="s">
        <v>108</v>
      </c>
      <c r="B25" t="s">
        <v>66</v>
      </c>
    </row>
    <row r="26" spans="1:2" x14ac:dyDescent="0.25">
      <c r="A26" t="s">
        <v>109</v>
      </c>
      <c r="B26" t="s">
        <v>67</v>
      </c>
    </row>
    <row r="27" spans="1:2" x14ac:dyDescent="0.25">
      <c r="A27" t="s">
        <v>110</v>
      </c>
      <c r="B27" t="s">
        <v>68</v>
      </c>
    </row>
    <row r="28" spans="1:2" x14ac:dyDescent="0.25">
      <c r="A28" t="s">
        <v>111</v>
      </c>
      <c r="B28" t="s">
        <v>69</v>
      </c>
    </row>
    <row r="29" spans="1:2" x14ac:dyDescent="0.25">
      <c r="A29" t="s">
        <v>112</v>
      </c>
      <c r="B29" t="s">
        <v>70</v>
      </c>
    </row>
    <row r="30" spans="1:2" x14ac:dyDescent="0.25">
      <c r="A30" t="s">
        <v>113</v>
      </c>
      <c r="B30" t="s">
        <v>71</v>
      </c>
    </row>
    <row r="31" spans="1:2" x14ac:dyDescent="0.25">
      <c r="A31" t="s">
        <v>114</v>
      </c>
      <c r="B31" t="s">
        <v>72</v>
      </c>
    </row>
    <row r="32" spans="1:2" x14ac:dyDescent="0.25">
      <c r="A32" t="s">
        <v>115</v>
      </c>
      <c r="B32" t="s">
        <v>73</v>
      </c>
    </row>
    <row r="33" spans="1:2" x14ac:dyDescent="0.25">
      <c r="A33" t="s">
        <v>116</v>
      </c>
      <c r="B33" t="s">
        <v>74</v>
      </c>
    </row>
    <row r="34" spans="1:2" x14ac:dyDescent="0.25">
      <c r="A34" t="s">
        <v>53</v>
      </c>
      <c r="B34" t="s">
        <v>36</v>
      </c>
    </row>
    <row r="35" spans="1:2" x14ac:dyDescent="0.25">
      <c r="A35" t="s">
        <v>54</v>
      </c>
      <c r="B35" t="s">
        <v>37</v>
      </c>
    </row>
    <row r="36" spans="1:2" x14ac:dyDescent="0.25">
      <c r="A36" t="s">
        <v>55</v>
      </c>
      <c r="B36" t="s">
        <v>38</v>
      </c>
    </row>
    <row r="37" spans="1:2" x14ac:dyDescent="0.25">
      <c r="A37" t="s">
        <v>56</v>
      </c>
      <c r="B37" t="s">
        <v>39</v>
      </c>
    </row>
    <row r="38" spans="1:2" x14ac:dyDescent="0.25">
      <c r="A38" t="s">
        <v>57</v>
      </c>
      <c r="B38" t="s">
        <v>40</v>
      </c>
    </row>
    <row r="39" spans="1:2" x14ac:dyDescent="0.25">
      <c r="A39" t="s">
        <v>58</v>
      </c>
      <c r="B39" t="s">
        <v>41</v>
      </c>
    </row>
    <row r="40" spans="1:2" x14ac:dyDescent="0.25">
      <c r="A40" t="s">
        <v>91</v>
      </c>
      <c r="B40" t="s">
        <v>42</v>
      </c>
    </row>
    <row r="41" spans="1:2" x14ac:dyDescent="0.25">
      <c r="A41" t="s">
        <v>92</v>
      </c>
      <c r="B41" t="s">
        <v>43</v>
      </c>
    </row>
    <row r="42" spans="1:2" x14ac:dyDescent="0.25">
      <c r="A42" t="s">
        <v>93</v>
      </c>
      <c r="B42" t="s">
        <v>44</v>
      </c>
    </row>
    <row r="43" spans="1:2" x14ac:dyDescent="0.25">
      <c r="A43" t="s">
        <v>94</v>
      </c>
      <c r="B43" t="s">
        <v>45</v>
      </c>
    </row>
    <row r="44" spans="1:2" x14ac:dyDescent="0.25">
      <c r="A44" t="s">
        <v>95</v>
      </c>
      <c r="B44" t="s">
        <v>46</v>
      </c>
    </row>
    <row r="45" spans="1:2" x14ac:dyDescent="0.25">
      <c r="A45" t="s">
        <v>96</v>
      </c>
      <c r="B45" t="s">
        <v>47</v>
      </c>
    </row>
    <row r="46" spans="1:2" x14ac:dyDescent="0.25">
      <c r="A46" t="s">
        <v>97</v>
      </c>
      <c r="B46" t="s">
        <v>48</v>
      </c>
    </row>
    <row r="47" spans="1:2" x14ac:dyDescent="0.25">
      <c r="A47" t="s">
        <v>98</v>
      </c>
      <c r="B47" t="s">
        <v>49</v>
      </c>
    </row>
    <row r="48" spans="1:2" x14ac:dyDescent="0.25">
      <c r="A48" t="s">
        <v>99</v>
      </c>
      <c r="B48" t="s">
        <v>50</v>
      </c>
    </row>
    <row r="49" spans="1:2" x14ac:dyDescent="0.25">
      <c r="A49" t="s">
        <v>100</v>
      </c>
      <c r="B49" t="s">
        <v>51</v>
      </c>
    </row>
    <row r="51" spans="1:2" x14ac:dyDescent="0.25">
      <c r="A51" s="1" t="s">
        <v>14</v>
      </c>
    </row>
    <row r="52" spans="1:2" x14ac:dyDescent="0.25">
      <c r="A52" s="2" t="s">
        <v>0</v>
      </c>
    </row>
    <row r="53" spans="1:2" x14ac:dyDescent="0.25">
      <c r="A53" s="2" t="s">
        <v>1</v>
      </c>
    </row>
    <row r="54" spans="1:2" x14ac:dyDescent="0.25">
      <c r="A54" s="2" t="s">
        <v>2</v>
      </c>
    </row>
    <row r="55" spans="1:2" x14ac:dyDescent="0.25">
      <c r="A55" s="2" t="s">
        <v>3</v>
      </c>
    </row>
    <row r="56" spans="1:2" x14ac:dyDescent="0.25">
      <c r="A56" s="2" t="s">
        <v>4</v>
      </c>
    </row>
    <row r="57" spans="1:2" x14ac:dyDescent="0.25">
      <c r="A57" s="2" t="s">
        <v>5</v>
      </c>
    </row>
    <row r="58" spans="1:2" x14ac:dyDescent="0.25">
      <c r="A58" s="2" t="s">
        <v>6</v>
      </c>
    </row>
    <row r="59" spans="1:2" x14ac:dyDescent="0.25">
      <c r="A59" s="2" t="s">
        <v>7</v>
      </c>
    </row>
    <row r="60" spans="1:2" x14ac:dyDescent="0.25">
      <c r="A60" s="2" t="s">
        <v>8</v>
      </c>
    </row>
    <row r="61" spans="1:2" x14ac:dyDescent="0.25">
      <c r="A61" s="2" t="s">
        <v>9</v>
      </c>
    </row>
    <row r="62" spans="1:2" x14ac:dyDescent="0.25">
      <c r="A62" s="2" t="s">
        <v>10</v>
      </c>
    </row>
    <row r="63" spans="1:2" x14ac:dyDescent="0.25">
      <c r="A63" s="2" t="s">
        <v>11</v>
      </c>
    </row>
    <row r="64" spans="1:2" x14ac:dyDescent="0.25">
      <c r="A64" s="2" t="s">
        <v>12</v>
      </c>
    </row>
    <row r="65" spans="1:1" x14ac:dyDescent="0.25">
      <c r="A65" s="2" t="s">
        <v>13</v>
      </c>
    </row>
    <row r="66" spans="1:1" x14ac:dyDescent="0.25">
      <c r="A66" s="2">
        <v>7</v>
      </c>
    </row>
    <row r="67" spans="1:1" x14ac:dyDescent="0.25">
      <c r="A67" s="2">
        <v>8</v>
      </c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Summary</vt:lpstr>
      <vt:lpstr>DOE_Reference</vt:lpstr>
    </vt:vector>
  </TitlesOfParts>
  <Company>Massachusetts Institute of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Yang</dc:creator>
  <cp:lastModifiedBy>Jiachen Mao</cp:lastModifiedBy>
  <dcterms:created xsi:type="dcterms:W3CDTF">2016-02-26T18:50:06Z</dcterms:created>
  <dcterms:modified xsi:type="dcterms:W3CDTF">2017-06-21T17:58:40Z</dcterms:modified>
</cp:coreProperties>
</file>
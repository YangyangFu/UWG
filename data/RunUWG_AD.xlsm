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oj\Dropbox\UWG_Matlab-master\data\"/>
    </mc:Choice>
  </mc:AlternateContent>
  <workbookProtection lockStructure="1"/>
  <bookViews>
    <workbookView xWindow="14601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" i="3" l="1"/>
  <c r="O20" i="3"/>
  <c r="AA2" i="3"/>
  <c r="AA3" i="3"/>
  <c r="D24" i="3"/>
  <c r="D20" i="3"/>
  <c r="R21" i="3"/>
  <c r="AC20" i="3"/>
  <c r="AE20" i="3"/>
  <c r="AD20" i="3"/>
  <c r="T18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16" i="3"/>
  <c r="S12" i="3"/>
  <c r="T20" i="3"/>
  <c r="S20" i="3"/>
  <c r="U20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<sst xmlns="http://schemas.openxmlformats.org/spreadsheetml/2006/main" count="366" uniqueCount="285">
  <si>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</si>
  <si>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</si>
  <si>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</si>
  <si>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</si>
  <si>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</si>
  <si>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</si>
  <si>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</si>
  <si>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</si>
  <si>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</si>
  <si>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</si>
  <si>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</si>
  <si>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</si>
  <si>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</si>
  <si>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</si>
  <si>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</si>
  <si>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</si>
  <si>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</si>
  <si>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</si>
  <si>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</si>
  <si>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</si>
  <si>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</si>
  <si>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</si>
  <si>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</si>
  <si>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</si>
  <si>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</si>
  <si>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</si>
  <si>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</si>
  <si>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</si>
  <si>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</si>
  <si>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</si>
  <si>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</si>
  <si>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</si>
  <si>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</si>
  <si>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</si>
  <si>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</si>
  <si>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</si>
  <si>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</si>
  <si>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</si>
  <si>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</si>
  <si>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</si>
  <si>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</si>
  <si>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</si>
  <si>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</si>
  <si>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</si>
  <si>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</si>
  <si>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</si>
  <si>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</si>
  <si>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</si>
  <si>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</si>
  <si>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</si>
  <si>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</si>
  <si>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</si>
  <si>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</si>
  <si>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</si>
  <si>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</si>
  <si>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</si>
  <si>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</si>
  <si>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</si>
  <si>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</si>
  <si>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</si>
  <si>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</si>
  <si>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</si>
  <si>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</si>
  <si>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</si>
  <si>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</si>
  <si>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</si>
  <si>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</si>
  <si>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</si>
  <si>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</si>
  <si>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</si>
  <si>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</si>
  <si>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</si>
  <si>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</si>
  <si>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</si>
  <si>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</si>
  <si>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</si>
  <si>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</si>
  <si>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</si>
  <si>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</si>
  <si>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</si>
  <si>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</si>
  <si>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</si>
  <si>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</si>
  <si>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</si>
  <si>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</si>
  <si>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</si>
  <si>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</si>
  <si>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</si>
  <si>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</si>
  <si>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</si>
  <si>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</si>
  <si>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</si>
  <si>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</si>
  <si>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</si>
  <si>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</si>
  <si>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</si>
  <si>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</si>
  <si>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</si>
  <si>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</si>
  <si>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</si>
  <si>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</si>
  <si>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</si>
  <si>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</si>
  <si>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</si>
  <si>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</si>
  <si>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</si>
  <si>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</si>
  <si>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</si>
  <si>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</si>
  <si>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</si>
  <si>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</si>
  <si>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</si>
  <si>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</si>
  <si>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</si>
  <si>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</si>
  <si>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</si>
  <si>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</si>
  <si>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</si>
  <si>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</si>
  <si>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</si>
  <si>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</si>
  <si>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</si>
  <si>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</si>
  <si>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</si>
  <si>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</si>
  <si>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</si>
  <si>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</si>
  <si>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</si>
  <si>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</si>
  <si>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</si>
  <si>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</si>
  <si>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</si>
  <si>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</si>
  <si>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</si>
  <si>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</si>
  <si>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</si>
  <si>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</si>
  <si>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</si>
  <si>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</si>
  <si>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</si>
  <si>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</si>
  <si>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</si>
  <si>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</si>
  <si>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</si>
  <si>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</si>
  <si>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</si>
  <si>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</si>
  <si>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</si>
  <si>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</si>
  <si>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</si>
  <si>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</si>
  <si>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</si>
  <si>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</si>
  <si>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</si>
  <si>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</si>
  <si>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</si>
  <si>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</si>
  <si>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</si>
  <si>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</si>
  <si>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</si>
  <si>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</si>
  <si>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</si>
  <si>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</si>
  <si>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</si>
  <si>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</si>
  <si>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</si>
  <si>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</si>
  <si>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</si>
  <si>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</si>
  <si>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</si>
  <si>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</si>
  <si>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</si>
  <si>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</si>
  <si>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</si>
  <si>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</si>
  <si>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</si>
  <si>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</si>
  <si>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</si>
  <si>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</si>
  <si>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</si>
  <si>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</si>
  <si>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</si>
  <si>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</si>
  <si>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</si>
  <si>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</si>
  <si>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</si>
  <si>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</si>
  <si>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</si>
  <si>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</si>
  <si>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</si>
  <si>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</si>
  <si>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</si>
  <si>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</si>
  <si>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</si>
  <si>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</si>
  <si>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</si>
  <si>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</si>
  <si>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</si>
  <si>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</si>
  <si>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</si>
  <si>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</si>
  <si>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</si>
  <si>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</si>
  <si>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</si>
  <si>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</si>
  <si>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</si>
  <si>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</si>
  <si>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</si>
  <si>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</si>
  <si>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</si>
  <si>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</si>
  <si>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</si>
  <si>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</si>
  <si>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</si>
  <si>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</si>
  <si>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</si>
  <si>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</si>
  <si>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</si>
  <si>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</si>
  <si>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</si>
  <si>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</si>
  <si>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</si>
  <si>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</si>
  <si>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</si>
  <si>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</si>
  <si>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</si>
  <si>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</si>
  <si>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</si>
  <si>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</si>
  <si>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</si>
  <si>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</si>
  <si>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</si>
  <si>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</si>
  <si>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</si>
  <si>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</si>
  <si>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</si>
  <si>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</si>
  <si>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</si>
  <si>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</si>
  <si>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</si>
  <si>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</si>
  <si>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</si>
  <si>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</si>
  <si>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</si>
  <si>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</si>
  <si>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</si>
  <si>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</si>
  <si>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</si>
  <si>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</si>
  <si>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</si>
  <si>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</si>
  <si>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</si>
  <si>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</si>
  <si>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</si>
  <si>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</si>
  <si>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</si>
  <si>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</si>
  <si>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</si>
  <si>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</si>
  <si>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</si>
  <si>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</si>
  <si>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</si>
  <si>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</si>
  <si>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</si>
  <si>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</si>
  <si>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</si>
  <si>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</si>
  <si>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</si>
  <si>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</si>
  <si>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</si>
  <si>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</si>
  <si>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</si>
  <si>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</si>
  <si>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</si>
  <si>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</si>
  <si>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</si>
  <si>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</si>
  <si>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</si>
  <si>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</si>
  <si>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</si>
  <si>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</si>
  <si>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</si>
  <si>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</si>
  <si>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</si>
  <si>
    <t>Minimum wind velocity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</si>
</sst>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8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1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</c:v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v>Friday</c:v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zoomScale="170" zoomScaleNormal="170" workbookViewId="0">
      <selection activeCell="N25" sqref="N25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32" t="s">
        <v>197</v>
      </c>
      <c r="C2" s="132"/>
      <c r="D2" s="132"/>
      <c r="E2" s="132"/>
      <c r="G2" s="132" t="s">
        <v>198</v>
      </c>
      <c r="H2" s="132"/>
      <c r="I2" s="132"/>
      <c r="J2" s="132"/>
      <c r="L2" s="132" t="s">
        <v>199</v>
      </c>
      <c r="M2" s="132"/>
      <c r="N2" s="132"/>
      <c r="O2" s="132"/>
      <c r="P2" s="120" t="s">
        <v>281</v>
      </c>
      <c r="Q2" s="120"/>
      <c r="R2" s="120"/>
      <c r="S2" s="120" t="s">
        <v>250</v>
      </c>
      <c r="T2" s="120"/>
      <c r="U2" s="120"/>
      <c r="Y2" s="121" t="s">
        <v>217</v>
      </c>
      <c r="Z2" s="121"/>
      <c r="AA2" s="4">
        <f>COUNT(S4:U19)</f>
        <v>48</v>
      </c>
    </row>
    <row r="3" spans="2:31" ht="17.25" x14ac:dyDescent="0.25">
      <c r="B3" s="134" t="s">
        <v>181</v>
      </c>
      <c r="C3" s="135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280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282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21" t="s">
        <v>206</v>
      </c>
      <c r="Z3" s="121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130" t="s">
        <v>257</v>
      </c>
      <c r="C4" s="80" t="s">
        <v>169</v>
      </c>
      <c r="D4" s="17">
        <v>700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131"/>
      <c r="C5" s="81" t="s">
        <v>170</v>
      </c>
      <c r="D5" s="30">
        <v>80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131"/>
      <c r="C6" s="81" t="s">
        <v>227</v>
      </c>
      <c r="D6" s="30">
        <v>150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ref="S6:S19" si="1">IF(P6&gt;0,P6/SUM($P$4:$R$19),0)</f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131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131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131"/>
      <c r="C9" s="81" t="s">
        <v>200</v>
      </c>
      <c r="D9" s="30">
        <v>1.2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131"/>
      <c r="C10" s="81" t="s">
        <v>230</v>
      </c>
      <c r="D10" s="30">
        <v>0.3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131"/>
      <c r="C11" s="81" t="s">
        <v>225</v>
      </c>
      <c r="D11" s="30">
        <v>200</v>
      </c>
      <c r="E11" s="31" t="s">
        <v>283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131"/>
      <c r="C12" s="81" t="s">
        <v>226</v>
      </c>
      <c r="D12" s="30">
        <v>50</v>
      </c>
      <c r="E12" s="31" t="s">
        <v>283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131"/>
      <c r="C13" s="81" t="s">
        <v>284</v>
      </c>
      <c r="D13" s="30">
        <v>0.1</v>
      </c>
      <c r="E13" s="31" t="s">
        <v>255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133"/>
      <c r="C14" s="82" t="s">
        <v>256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130" t="s">
        <v>181</v>
      </c>
      <c r="C15" s="83" t="s">
        <v>171</v>
      </c>
      <c r="D15" s="17">
        <v>35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131"/>
      <c r="C16" s="75" t="s">
        <v>261</v>
      </c>
      <c r="D16" s="30">
        <v>0.3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131"/>
      <c r="C17" s="75" t="s">
        <v>175</v>
      </c>
      <c r="D17" s="30">
        <v>0.24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131"/>
      <c r="C18" s="75" t="s">
        <v>15</v>
      </c>
      <c r="D18" s="30">
        <v>2.202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131"/>
      <c r="C19" s="75" t="s">
        <v>234</v>
      </c>
      <c r="D19" s="30">
        <v>1000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131"/>
      <c r="C20" s="75" t="s">
        <v>176</v>
      </c>
      <c r="D20" s="30">
        <f>D19/4</f>
        <v>250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131"/>
      <c r="C21" s="75" t="s">
        <v>133</v>
      </c>
      <c r="D21" s="30">
        <v>0.16500000000000001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2754098.360655738</v>
      </c>
      <c r="S21" s="53"/>
      <c r="T21" s="53"/>
      <c r="U21" s="53"/>
      <c r="W21" s="120"/>
      <c r="X21" s="120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131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131"/>
      <c r="C23" s="75" t="s">
        <v>190</v>
      </c>
      <c r="D23" s="30">
        <v>19.63</v>
      </c>
      <c r="E23" s="31" t="s">
        <v>283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36" t="s">
        <v>188</v>
      </c>
      <c r="M23" s="137"/>
      <c r="N23" s="55" t="s">
        <v>173</v>
      </c>
      <c r="O23" s="56" t="s">
        <v>167</v>
      </c>
      <c r="P23" s="123" t="s">
        <v>187</v>
      </c>
      <c r="Q23" s="123"/>
      <c r="R23" s="123"/>
      <c r="S23" s="123"/>
      <c r="T23" s="123"/>
      <c r="U23" s="124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131"/>
      <c r="C24" s="75" t="s">
        <v>191</v>
      </c>
      <c r="D24" s="30">
        <f>D23*0.1011</f>
        <v>1.9845929999999998</v>
      </c>
      <c r="E24" s="31" t="s">
        <v>283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28" t="s">
        <v>177</v>
      </c>
      <c r="M24" s="129"/>
      <c r="N24" s="61">
        <v>8</v>
      </c>
      <c r="O24" s="62" t="s">
        <v>172</v>
      </c>
      <c r="P24" s="118" t="s">
        <v>259</v>
      </c>
      <c r="Q24" s="63" t="s">
        <v>184</v>
      </c>
      <c r="R24" s="114" t="s">
        <v>272</v>
      </c>
      <c r="S24" s="114"/>
      <c r="T24" s="114"/>
      <c r="U24" s="115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130" t="s">
        <v>205</v>
      </c>
      <c r="C25" s="83" t="s">
        <v>231</v>
      </c>
      <c r="D25" s="17">
        <v>0.01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106" t="s">
        <v>178</v>
      </c>
      <c r="M25" s="107"/>
      <c r="N25" s="64">
        <v>1</v>
      </c>
      <c r="O25" s="65" t="s">
        <v>172</v>
      </c>
      <c r="P25" s="122"/>
      <c r="Q25" s="66" t="s">
        <v>186</v>
      </c>
      <c r="R25" s="125" t="s">
        <v>278</v>
      </c>
      <c r="S25" s="125"/>
      <c r="T25" s="125"/>
      <c r="U25" s="126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131"/>
      <c r="C26" s="75" t="s">
        <v>232</v>
      </c>
      <c r="D26" s="30">
        <v>0.01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106" t="s">
        <v>179</v>
      </c>
      <c r="M26" s="107"/>
      <c r="N26" s="64">
        <v>7</v>
      </c>
      <c r="O26" s="65" t="s">
        <v>180</v>
      </c>
      <c r="P26" s="118" t="s">
        <v>260</v>
      </c>
      <c r="Q26" s="63" t="s">
        <v>184</v>
      </c>
      <c r="R26" s="114" t="s">
        <v>273</v>
      </c>
      <c r="S26" s="114"/>
      <c r="T26" s="114"/>
      <c r="U26" s="115"/>
      <c r="W26" s="120"/>
      <c r="X26" s="120"/>
    </row>
    <row r="27" spans="2:31" ht="15" x14ac:dyDescent="0.25">
      <c r="B27" s="131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106" t="s">
        <v>221</v>
      </c>
      <c r="M27" s="107"/>
      <c r="N27" s="64">
        <v>300</v>
      </c>
      <c r="O27" s="65" t="s">
        <v>174</v>
      </c>
      <c r="P27" s="122"/>
      <c r="Q27" s="66" t="s">
        <v>186</v>
      </c>
      <c r="R27" s="125" t="s">
        <v>277</v>
      </c>
      <c r="S27" s="125"/>
      <c r="T27" s="125"/>
      <c r="U27" s="126"/>
      <c r="X27" s="19"/>
    </row>
    <row r="28" spans="2:31" ht="15" x14ac:dyDescent="0.25">
      <c r="B28" s="131"/>
      <c r="C28" s="75" t="s">
        <v>183</v>
      </c>
      <c r="D28" s="30">
        <v>12</v>
      </c>
      <c r="E28" s="31" t="s">
        <v>172</v>
      </c>
      <c r="L28" s="106" t="s">
        <v>222</v>
      </c>
      <c r="M28" s="107"/>
      <c r="N28" s="64">
        <v>3600</v>
      </c>
      <c r="O28" s="70" t="s">
        <v>174</v>
      </c>
      <c r="P28" s="127" t="s">
        <v>241</v>
      </c>
      <c r="Q28" s="11" t="s">
        <v>184</v>
      </c>
      <c r="R28" s="116" t="s">
        <v>274</v>
      </c>
      <c r="S28" s="116"/>
      <c r="T28" s="116"/>
      <c r="U28" s="117"/>
      <c r="X28" s="19"/>
    </row>
    <row r="29" spans="2:31" ht="15" x14ac:dyDescent="0.25">
      <c r="B29" s="131"/>
      <c r="C29" s="75" t="s">
        <v>202</v>
      </c>
      <c r="D29" s="30">
        <v>0.25</v>
      </c>
      <c r="E29" s="31" t="s">
        <v>172</v>
      </c>
      <c r="L29" s="106" t="s">
        <v>270</v>
      </c>
      <c r="M29" s="107"/>
      <c r="N29" s="64">
        <v>0</v>
      </c>
      <c r="O29" s="65" t="s">
        <v>185</v>
      </c>
      <c r="P29" s="122"/>
      <c r="Q29" s="66" t="s">
        <v>186</v>
      </c>
      <c r="R29" s="125" t="s">
        <v>223</v>
      </c>
      <c r="S29" s="125"/>
      <c r="T29" s="125"/>
      <c r="U29" s="126"/>
    </row>
    <row r="30" spans="2:31" ht="15" customHeight="1" x14ac:dyDescent="0.25">
      <c r="B30" s="131"/>
      <c r="C30" s="75" t="s">
        <v>204</v>
      </c>
      <c r="D30" s="30">
        <v>0.6</v>
      </c>
      <c r="E30" s="31" t="s">
        <v>172</v>
      </c>
      <c r="L30" s="106" t="s">
        <v>219</v>
      </c>
      <c r="M30" s="107"/>
      <c r="N30" s="64">
        <v>100</v>
      </c>
      <c r="O30" s="71" t="s">
        <v>220</v>
      </c>
      <c r="P30" s="118" t="s">
        <v>276</v>
      </c>
      <c r="Q30" s="63" t="s">
        <v>186</v>
      </c>
      <c r="R30" s="114" t="s">
        <v>279</v>
      </c>
      <c r="S30" s="114"/>
      <c r="T30" s="114"/>
      <c r="U30" s="115"/>
    </row>
    <row r="31" spans="2:31" ht="15" x14ac:dyDescent="0.25">
      <c r="B31" s="131"/>
      <c r="C31" s="75" t="s">
        <v>203</v>
      </c>
      <c r="D31" s="30">
        <v>0.7</v>
      </c>
      <c r="E31" s="36" t="s">
        <v>172</v>
      </c>
      <c r="L31" s="106" t="s">
        <v>253</v>
      </c>
      <c r="M31" s="107"/>
      <c r="N31" s="64">
        <v>0.3</v>
      </c>
      <c r="O31" s="65" t="s">
        <v>172</v>
      </c>
      <c r="P31" s="119"/>
      <c r="Q31" s="11"/>
      <c r="R31" s="116"/>
      <c r="S31" s="116"/>
      <c r="T31" s="116"/>
      <c r="U31" s="117"/>
    </row>
    <row r="32" spans="2:31" ht="15" x14ac:dyDescent="0.25">
      <c r="B32" s="133"/>
      <c r="C32" s="84" t="s">
        <v>218</v>
      </c>
      <c r="D32" s="72">
        <v>0.01</v>
      </c>
      <c r="E32" s="73" t="s">
        <v>172</v>
      </c>
      <c r="L32" s="106" t="s">
        <v>254</v>
      </c>
      <c r="M32" s="107"/>
      <c r="N32" s="64">
        <v>0.2</v>
      </c>
      <c r="O32" s="65" t="s">
        <v>172</v>
      </c>
      <c r="P32" s="112" t="s">
        <v>235</v>
      </c>
      <c r="Q32" s="113"/>
      <c r="R32" s="74" t="s">
        <v>238</v>
      </c>
      <c r="S32" s="101" t="s">
        <v>240</v>
      </c>
      <c r="T32" s="102"/>
      <c r="U32" s="103"/>
    </row>
    <row r="33" spans="2:21" ht="15" x14ac:dyDescent="0.25">
      <c r="C33" s="75"/>
      <c r="L33" s="106" t="s">
        <v>251</v>
      </c>
      <c r="M33" s="107"/>
      <c r="N33" s="64">
        <v>0.5</v>
      </c>
      <c r="O33" s="65" t="s">
        <v>172</v>
      </c>
      <c r="P33" s="110" t="s">
        <v>236</v>
      </c>
      <c r="Q33" s="111"/>
      <c r="R33" s="76" t="s">
        <v>238</v>
      </c>
      <c r="S33" s="98" t="s">
        <v>240</v>
      </c>
      <c r="T33" s="99"/>
      <c r="U33" s="100"/>
    </row>
    <row r="34" spans="2:21" ht="15" x14ac:dyDescent="0.25">
      <c r="L34" s="104" t="s">
        <v>252</v>
      </c>
      <c r="M34" s="105"/>
      <c r="N34" s="77">
        <v>0.7</v>
      </c>
      <c r="O34" s="78" t="s">
        <v>172</v>
      </c>
      <c r="P34" s="108" t="s">
        <v>237</v>
      </c>
      <c r="Q34" s="109"/>
      <c r="R34" s="79" t="s">
        <v>239</v>
      </c>
      <c r="S34" s="95" t="s">
        <v>240</v>
      </c>
      <c r="T34" s="96"/>
      <c r="U34" s="97"/>
    </row>
    <row r="35" spans="2:21" ht="15" x14ac:dyDescent="0.25">
      <c r="B35" s="94" t="s">
        <v>275</v>
      </c>
      <c r="C35" s="94"/>
      <c r="D35" s="94"/>
      <c r="E35" s="94"/>
    </row>
    <row r="36" spans="2:21" x14ac:dyDescent="0.2">
      <c r="B36" s="3" t="s">
        <v>258</v>
      </c>
    </row>
    <row r="39" spans="2:21" x14ac:dyDescent="0.2">
      <c r="B39" s="3" t="s">
        <v>262</v>
      </c>
      <c r="C39" s="3" t="s">
        <v>264</v>
      </c>
    </row>
    <row r="40" spans="2:21" x14ac:dyDescent="0.2">
      <c r="C40" s="3" t="s">
        <v>265</v>
      </c>
    </row>
    <row r="41" spans="2:21" x14ac:dyDescent="0.2">
      <c r="C41" s="3" t="s">
        <v>266</v>
      </c>
    </row>
    <row r="42" spans="2:21" x14ac:dyDescent="0.2">
      <c r="C42" s="3" t="s">
        <v>267</v>
      </c>
    </row>
    <row r="43" spans="2:21" x14ac:dyDescent="0.2">
      <c r="C43" s="3" t="s">
        <v>268</v>
      </c>
    </row>
    <row r="44" spans="2:21" x14ac:dyDescent="0.2">
      <c r="C44" s="3" t="s">
        <v>263</v>
      </c>
    </row>
    <row r="45" spans="2:21" x14ac:dyDescent="0.2">
      <c r="C45" s="3" t="s">
        <v>269</v>
      </c>
    </row>
    <row r="46" spans="2:21" x14ac:dyDescent="0.2">
      <c r="C46" s="3" t="s">
        <v>271</v>
      </c>
    </row>
  </sheetData>
  <mergeCells count="45">
    <mergeCell ref="L28:M28"/>
    <mergeCell ref="L29:M29"/>
    <mergeCell ref="L27:M27"/>
    <mergeCell ref="L26:M26"/>
    <mergeCell ref="B25:B32"/>
    <mergeCell ref="L25:M25"/>
    <mergeCell ref="L24:M24"/>
    <mergeCell ref="B15:B24"/>
    <mergeCell ref="B2:E2"/>
    <mergeCell ref="G2:J2"/>
    <mergeCell ref="L2:O2"/>
    <mergeCell ref="B4:B14"/>
    <mergeCell ref="B3:C3"/>
    <mergeCell ref="L23:M23"/>
    <mergeCell ref="R26:U26"/>
    <mergeCell ref="R27:U27"/>
    <mergeCell ref="R28:U28"/>
    <mergeCell ref="W26:X26"/>
    <mergeCell ref="P26:P27"/>
    <mergeCell ref="P28:P29"/>
    <mergeCell ref="R29:U29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30:U30"/>
    <mergeCell ref="R31:U31"/>
    <mergeCell ref="P30:P31"/>
    <mergeCell ref="L30:M30"/>
    <mergeCell ref="L31:M31"/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Jiachen Mao</cp:lastModifiedBy>
  <dcterms:created xsi:type="dcterms:W3CDTF">2016-02-26T18:50:06Z</dcterms:created>
  <dcterms:modified xsi:type="dcterms:W3CDTF">2017-09-23T19:52:34Z</dcterms:modified>
</cp:coreProperties>
</file>